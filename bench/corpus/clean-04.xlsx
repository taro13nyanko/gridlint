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7B5B6618-6671-4030-AF79-E83E13B5F2E4}" xr6:coauthVersionLast="47" xr6:coauthVersionMax="47" xr10:uidLastSave="{00000000-0000-0000-0000-000000000000}"/>
  <bookViews>
    <workbookView xWindow="-120" yWindow="-120" windowWidth="29040" windowHeight="15720" xr2:uid="{1E4AC6AC-D37C-4037-8A46-86CF5DFAEF6B}"/>
  </bookViews>
  <sheets>
    <sheet name="Model" sheetId="2" r:id="rId1"/>
    <sheet name="Assump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1" i="2" l="1"/>
  <c r="C40" i="2"/>
  <c r="C39" i="2"/>
  <c r="C37" i="2"/>
  <c r="H30" i="2"/>
  <c r="G30" i="2"/>
  <c r="F30" i="2"/>
  <c r="E30" i="2"/>
  <c r="D30" i="2"/>
  <c r="C30" i="2"/>
  <c r="H28" i="2"/>
  <c r="G28" i="2"/>
  <c r="F28" i="2"/>
  <c r="E28" i="2"/>
  <c r="D28" i="2"/>
  <c r="C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0" i="2"/>
  <c r="G20" i="2"/>
  <c r="F20" i="2"/>
  <c r="E20" i="2"/>
  <c r="D20" i="2"/>
  <c r="C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2" i="2"/>
  <c r="G12" i="2"/>
  <c r="F12" i="2"/>
  <c r="E12" i="2"/>
  <c r="D12" i="2"/>
  <c r="C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</calcChain>
</file>

<file path=xl/sharedStrings.xml><?xml version="1.0" encoding="utf-8"?>
<sst xmlns="http://schemas.openxmlformats.org/spreadsheetml/2006/main" count="45" uniqueCount="45">
  <si>
    <t>Assumption</t>
  </si>
  <si>
    <t>Value</t>
  </si>
  <si>
    <t>Headcount</t>
  </si>
  <si>
    <t>Cash on hand</t>
  </si>
  <si>
    <t>Plan</t>
  </si>
  <si>
    <t>Growth</t>
  </si>
  <si>
    <t>Jan</t>
  </si>
  <si>
    <t>Feb</t>
  </si>
  <si>
    <t>Mar</t>
  </si>
  <si>
    <t>Apr</t>
  </si>
  <si>
    <t>May</t>
  </si>
  <si>
    <t>Jun</t>
  </si>
  <si>
    <t>REVENUE</t>
  </si>
  <si>
    <t>Support</t>
  </si>
  <si>
    <t>Sponsorships</t>
  </si>
  <si>
    <t>Contractors</t>
  </si>
  <si>
    <t>Cloud hosting</t>
  </si>
  <si>
    <t>Data vendors</t>
  </si>
  <si>
    <t>Office rent</t>
  </si>
  <si>
    <t>Total revenue</t>
  </si>
  <si>
    <t>COST OF SALES</t>
  </si>
  <si>
    <t>Salaries</t>
  </si>
  <si>
    <t>Travel</t>
  </si>
  <si>
    <t>Training</t>
  </si>
  <si>
    <t>Events</t>
  </si>
  <si>
    <t>Licences</t>
  </si>
  <si>
    <t>Total cost of sales</t>
  </si>
  <si>
    <t>OPERATING COSTS</t>
  </si>
  <si>
    <t>Insurance</t>
  </si>
  <si>
    <t>Services</t>
  </si>
  <si>
    <t>Content</t>
  </si>
  <si>
    <t>Benefits</t>
  </si>
  <si>
    <t>Recruiting</t>
  </si>
  <si>
    <t>Total operating costs</t>
  </si>
  <si>
    <t>Grand total</t>
  </si>
  <si>
    <t>Region</t>
  </si>
  <si>
    <t>Weight</t>
  </si>
  <si>
    <t>North</t>
  </si>
  <si>
    <t>South</t>
  </si>
  <si>
    <t>East</t>
  </si>
  <si>
    <t>West</t>
  </si>
  <si>
    <t>Weighted first month</t>
  </si>
  <si>
    <t>Full year</t>
  </si>
  <si>
    <t>Per head</t>
  </si>
  <si>
    <t>Months of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</si>
</sst>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\$#,##0"/>
    <numFmt numFmtId="180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1435-DBFB-4677-A175-7BAC5F0FDB73}">
  <dimension ref="A1:H41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8" width="10.625" bestFit="1" customWidth="1"/>
  </cols>
  <sheetData>
    <row r="1" spans="1:8" x14ac:dyDescent="0.4">
      <c r="A1" t="s">
        <v>4</v>
      </c>
    </row>
    <row r="3" spans="1:8" x14ac:dyDescent="0.4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5" spans="1:8" x14ac:dyDescent="0.4">
      <c r="A5" t="s">
        <v>12</v>
      </c>
    </row>
    <row r="6" spans="1:8" x14ac:dyDescent="0.4">
      <c r="A6" t="s">
        <v>13</v>
      </c>
      <c r="B6" s="2">
        <v>5.0000000000000001E-3</v>
      </c>
      <c r="C6" s="1">
        <v>246000</v>
      </c>
      <c r="D6" s="1">
        <f>C6*(1+$B$6)</f>
        <v>247229.99999999997</v>
      </c>
      <c r="E6" s="1">
        <f>D6*(1+$B$6)</f>
        <v>248466.14999999994</v>
      </c>
      <c r="F6" s="1">
        <f>E6*(1+$B$6)</f>
        <v>249708.4807499999</v>
      </c>
      <c r="G6" s="1">
        <f>F6*(1+$B$6)</f>
        <v>250957.02315374988</v>
      </c>
      <c r="H6" s="1">
        <f>G6*(1+$B$6)</f>
        <v>252211.8082695186</v>
      </c>
    </row>
    <row r="7" spans="1:8" x14ac:dyDescent="0.4">
      <c r="A7" t="s">
        <v>14</v>
      </c>
      <c r="B7" s="2">
        <v>-6.0000000000000001E-3</v>
      </c>
      <c r="C7" s="1">
        <v>355000</v>
      </c>
      <c r="D7" s="1">
        <f>C7*(1+$B$7)</f>
        <v>352870</v>
      </c>
      <c r="E7" s="1">
        <f>D7*(1+$B$7)</f>
        <v>350752.77999999997</v>
      </c>
      <c r="F7" s="1">
        <f>E7*(1+$B$7)</f>
        <v>348648.26331999997</v>
      </c>
      <c r="G7" s="1">
        <f>F7*(1+$B$7)</f>
        <v>346556.37374007999</v>
      </c>
      <c r="H7" s="1">
        <f>G7*(1+$B$7)</f>
        <v>344477.0354976395</v>
      </c>
    </row>
    <row r="8" spans="1:8" x14ac:dyDescent="0.4">
      <c r="A8" t="s">
        <v>15</v>
      </c>
      <c r="B8" s="2">
        <v>2E-3</v>
      </c>
      <c r="C8" s="1">
        <v>135000</v>
      </c>
      <c r="D8" s="1">
        <f>C8*(1+$B$8)</f>
        <v>135270</v>
      </c>
      <c r="E8" s="1">
        <f>D8*(1+$B$8)</f>
        <v>135540.54</v>
      </c>
      <c r="F8" s="1">
        <f>E8*(1+$B$8)</f>
        <v>135811.62108000001</v>
      </c>
      <c r="G8" s="1">
        <f>F8*(1+$B$8)</f>
        <v>136083.24432216003</v>
      </c>
      <c r="H8" s="1">
        <f>G8*(1+$B$8)</f>
        <v>136355.41081080434</v>
      </c>
    </row>
    <row r="9" spans="1:8" x14ac:dyDescent="0.4">
      <c r="A9" t="s">
        <v>16</v>
      </c>
      <c r="B9" s="2">
        <v>3.1E-2</v>
      </c>
      <c r="C9" s="1">
        <v>248000</v>
      </c>
      <c r="D9" s="1">
        <f>C9*(1+$B$9)</f>
        <v>255687.99999999997</v>
      </c>
      <c r="E9" s="1">
        <f>D9*(1+$B$9)</f>
        <v>263614.32799999992</v>
      </c>
      <c r="F9" s="1">
        <f>E9*(1+$B$9)</f>
        <v>271786.37216799991</v>
      </c>
      <c r="G9" s="1">
        <f>F9*(1+$B$9)</f>
        <v>280211.74970520788</v>
      </c>
      <c r="H9" s="1">
        <f>G9*(1+$B$9)</f>
        <v>288898.31394606928</v>
      </c>
    </row>
    <row r="10" spans="1:8" x14ac:dyDescent="0.4">
      <c r="A10" t="s">
        <v>17</v>
      </c>
      <c r="B10" s="2">
        <v>6.7000000000000004E-2</v>
      </c>
      <c r="C10" s="1">
        <v>216000</v>
      </c>
      <c r="D10" s="1">
        <f>C10*(1+$B$10)</f>
        <v>230472</v>
      </c>
      <c r="E10" s="1">
        <f>D10*(1+$B$10)</f>
        <v>245913.62399999998</v>
      </c>
      <c r="F10" s="1">
        <f>E10*(1+$B$10)</f>
        <v>262389.83680799999</v>
      </c>
      <c r="G10" s="1">
        <f>F10*(1+$B$10)</f>
        <v>279969.95587413595</v>
      </c>
      <c r="H10" s="1">
        <f>G10*(1+$B$10)</f>
        <v>298727.94291770307</v>
      </c>
    </row>
    <row r="11" spans="1:8" x14ac:dyDescent="0.4">
      <c r="A11" t="s">
        <v>18</v>
      </c>
      <c r="B11" s="2">
        <v>5.1999999999999998E-2</v>
      </c>
      <c r="C11" s="1">
        <v>245000</v>
      </c>
      <c r="D11" s="1">
        <f>C11*(1+$B$11)</f>
        <v>257740</v>
      </c>
      <c r="E11" s="1">
        <f>D11*(1+$B$11)</f>
        <v>271142.48000000004</v>
      </c>
      <c r="F11" s="1">
        <f>E11*(1+$B$11)</f>
        <v>285241.88896000007</v>
      </c>
      <c r="G11" s="1">
        <f>F11*(1+$B$11)</f>
        <v>300074.4671859201</v>
      </c>
      <c r="H11" s="1">
        <f>G11*(1+$B$11)</f>
        <v>315678.33947958797</v>
      </c>
    </row>
    <row r="12" spans="1:8" x14ac:dyDescent="0.4">
      <c r="A12" t="s">
        <v>19</v>
      </c>
      <c r="C12" s="1">
        <f>SUM(C6:C11)</f>
        <v>1445000</v>
      </c>
      <c r="D12" s="1">
        <f>SUM(D6:D11)</f>
        <v>1479270</v>
      </c>
      <c r="E12" s="1">
        <f>SUM(E6:E11)</f>
        <v>1515429.902</v>
      </c>
      <c r="F12" s="1">
        <f>SUM(F6:F11)</f>
        <v>1553586.4630859999</v>
      </c>
      <c r="G12" s="1">
        <f>SUM(G6:G11)</f>
        <v>1593852.8139812537</v>
      </c>
      <c r="H12" s="1">
        <f>SUM(H6:H11)</f>
        <v>1636348.8509213226</v>
      </c>
    </row>
    <row r="14" spans="1:8" x14ac:dyDescent="0.4">
      <c r="A14" t="s">
        <v>20</v>
      </c>
    </row>
    <row r="15" spans="1:8" x14ac:dyDescent="0.4">
      <c r="A15" t="s">
        <v>21</v>
      </c>
      <c r="B15" s="2">
        <v>2.7E-2</v>
      </c>
      <c r="C15" s="1">
        <v>123000</v>
      </c>
      <c r="D15" s="1">
        <f>C15*(1+$B$15)</f>
        <v>126320.99999999999</v>
      </c>
      <c r="E15" s="1">
        <f>D15*(1+$B$15)</f>
        <v>129731.66699999997</v>
      </c>
      <c r="F15" s="1">
        <f>E15*(1+$B$15)</f>
        <v>133234.42200899997</v>
      </c>
      <c r="G15" s="1">
        <f>F15*(1+$B$15)</f>
        <v>136831.75140324296</v>
      </c>
      <c r="H15" s="1">
        <f>G15*(1+$B$15)</f>
        <v>140526.20869113051</v>
      </c>
    </row>
    <row r="16" spans="1:8" x14ac:dyDescent="0.4">
      <c r="A16" t="s">
        <v>22</v>
      </c>
      <c r="B16" s="2">
        <v>6.5000000000000002E-2</v>
      </c>
      <c r="C16" s="1">
        <v>90000</v>
      </c>
      <c r="D16" s="1">
        <f>C16*(1+$B$16)</f>
        <v>95850</v>
      </c>
      <c r="E16" s="1">
        <f>D16*(1+$B$16)</f>
        <v>102080.25</v>
      </c>
      <c r="F16" s="1">
        <f>E16*(1+$B$16)</f>
        <v>108715.46625</v>
      </c>
      <c r="G16" s="1">
        <f>F16*(1+$B$16)</f>
        <v>115781.97155624999</v>
      </c>
      <c r="H16" s="1">
        <f>G16*(1+$B$16)</f>
        <v>123307.79970740623</v>
      </c>
    </row>
    <row r="17" spans="1:8" x14ac:dyDescent="0.4">
      <c r="A17" t="s">
        <v>23</v>
      </c>
      <c r="B17" s="2">
        <v>4.7E-2</v>
      </c>
      <c r="C17" s="1">
        <v>130000</v>
      </c>
      <c r="D17" s="1">
        <f>C17*(1+$B$17)</f>
        <v>136110</v>
      </c>
      <c r="E17" s="1">
        <f>D17*(1+$B$17)</f>
        <v>142507.16999999998</v>
      </c>
      <c r="F17" s="1">
        <f>E17*(1+$B$17)</f>
        <v>149205.00698999997</v>
      </c>
      <c r="G17" s="1">
        <f>F17*(1+$B$17)</f>
        <v>156217.64231852995</v>
      </c>
      <c r="H17" s="1">
        <f>G17*(1+$B$17)</f>
        <v>163559.87150750085</v>
      </c>
    </row>
    <row r="18" spans="1:8" x14ac:dyDescent="0.4">
      <c r="A18" t="s">
        <v>24</v>
      </c>
      <c r="B18" s="2">
        <v>-1.4E-2</v>
      </c>
      <c r="C18" s="1">
        <v>97000</v>
      </c>
      <c r="D18" s="1">
        <f>C18*(1+$B$18)</f>
        <v>95642</v>
      </c>
      <c r="E18" s="1">
        <f>D18*(1+$B$18)</f>
        <v>94303.012000000002</v>
      </c>
      <c r="F18" s="1">
        <f>E18*(1+$B$18)</f>
        <v>92982.769832000005</v>
      </c>
      <c r="G18" s="1">
        <f>F18*(1+$B$18)</f>
        <v>91681.011054351999</v>
      </c>
      <c r="H18" s="1">
        <f>G18*(1+$B$18)</f>
        <v>90397.476899591071</v>
      </c>
    </row>
    <row r="19" spans="1:8" x14ac:dyDescent="0.4">
      <c r="A19" t="s">
        <v>25</v>
      </c>
      <c r="B19" s="2">
        <v>-1.7000000000000001E-2</v>
      </c>
      <c r="C19" s="1">
        <v>39000</v>
      </c>
      <c r="D19" s="1">
        <f>C19*(1+$B$19)</f>
        <v>38337</v>
      </c>
      <c r="E19" s="1">
        <f>D19*(1+$B$19)</f>
        <v>37685.271000000001</v>
      </c>
      <c r="F19" s="1">
        <f>E19*(1+$B$19)</f>
        <v>37044.621393000001</v>
      </c>
      <c r="G19" s="1">
        <f>F19*(1+$B$19)</f>
        <v>36414.862829318998</v>
      </c>
      <c r="H19" s="1">
        <f>G19*(1+$B$19)</f>
        <v>35795.810161220572</v>
      </c>
    </row>
    <row r="20" spans="1:8" x14ac:dyDescent="0.4">
      <c r="A20" t="s">
        <v>26</v>
      </c>
      <c r="C20" s="1">
        <f>SUM(C15:C19)</f>
        <v>479000</v>
      </c>
      <c r="D20" s="1">
        <f>SUM(D15:D19)</f>
        <v>492260</v>
      </c>
      <c r="E20" s="1">
        <f>SUM(E15:E19)</f>
        <v>506307.36999999994</v>
      </c>
      <c r="F20" s="1">
        <f>SUM(F15:F19)</f>
        <v>521182.28647399996</v>
      </c>
      <c r="G20" s="1">
        <f>SUM(G15:G19)</f>
        <v>536927.23916169384</v>
      </c>
      <c r="H20" s="1">
        <f>SUM(H15:H19)</f>
        <v>553587.16696684924</v>
      </c>
    </row>
    <row r="22" spans="1:8" x14ac:dyDescent="0.4">
      <c r="A22" t="s">
        <v>27</v>
      </c>
    </row>
    <row r="23" spans="1:8" x14ac:dyDescent="0.4">
      <c r="A23" t="s">
        <v>28</v>
      </c>
      <c r="B23" s="2">
        <v>4.4999999999999998E-2</v>
      </c>
      <c r="C23" s="1">
        <v>224000</v>
      </c>
      <c r="D23" s="1">
        <f>C23*(1+$B$23)</f>
        <v>234079.99999999997</v>
      </c>
      <c r="E23" s="1">
        <f>D23*(1+$B$23)</f>
        <v>244613.59999999995</v>
      </c>
      <c r="F23" s="1">
        <f>E23*(1+$B$23)</f>
        <v>255621.21199999994</v>
      </c>
      <c r="G23" s="1">
        <f>F23*(1+$B$23)</f>
        <v>267124.16653999995</v>
      </c>
      <c r="H23" s="1">
        <f>G23*(1+$B$23)</f>
        <v>279144.75403429993</v>
      </c>
    </row>
    <row r="24" spans="1:8" x14ac:dyDescent="0.4">
      <c r="A24" t="s">
        <v>29</v>
      </c>
      <c r="B24" s="2">
        <v>2.4E-2</v>
      </c>
      <c r="C24" s="1">
        <v>100000</v>
      </c>
      <c r="D24" s="1">
        <f>C24*(1+$B$24)</f>
        <v>102400</v>
      </c>
      <c r="E24" s="1">
        <f>D24*(1+$B$24)</f>
        <v>104857.60000000001</v>
      </c>
      <c r="F24" s="1">
        <f>E24*(1+$B$24)</f>
        <v>107374.18240000001</v>
      </c>
      <c r="G24" s="1">
        <f>F24*(1+$B$24)</f>
        <v>109951.16277760001</v>
      </c>
      <c r="H24" s="1">
        <f>G24*(1+$B$24)</f>
        <v>112589.99068426242</v>
      </c>
    </row>
    <row r="25" spans="1:8" x14ac:dyDescent="0.4">
      <c r="A25" t="s">
        <v>30</v>
      </c>
      <c r="B25" s="2">
        <v>3.2000000000000001E-2</v>
      </c>
      <c r="C25" s="1">
        <v>329000</v>
      </c>
      <c r="D25" s="1">
        <f>C25*(1+$B$25)</f>
        <v>339528</v>
      </c>
      <c r="E25" s="1">
        <f>D25*(1+$B$25)</f>
        <v>350392.89600000001</v>
      </c>
      <c r="F25" s="1">
        <f>E25*(1+$B$25)</f>
        <v>361605.46867200005</v>
      </c>
      <c r="G25" s="1">
        <f>F25*(1+$B$25)</f>
        <v>373176.84366950404</v>
      </c>
      <c r="H25" s="1">
        <f>G25*(1+$B$25)</f>
        <v>385118.50266692817</v>
      </c>
    </row>
    <row r="26" spans="1:8" x14ac:dyDescent="0.4">
      <c r="A26" t="s">
        <v>31</v>
      </c>
      <c r="B26" s="2">
        <v>-1.4E-2</v>
      </c>
      <c r="C26" s="1">
        <v>318000</v>
      </c>
      <c r="D26" s="1">
        <f>C26*(1+$B$26)</f>
        <v>313548</v>
      </c>
      <c r="E26" s="1">
        <f>D26*(1+$B$26)</f>
        <v>309158.32799999998</v>
      </c>
      <c r="F26" s="1">
        <f>E26*(1+$B$26)</f>
        <v>304830.111408</v>
      </c>
      <c r="G26" s="1">
        <f>F26*(1+$B$26)</f>
        <v>300562.48984828801</v>
      </c>
      <c r="H26" s="1">
        <f>G26*(1+$B$26)</f>
        <v>296354.61499041197</v>
      </c>
    </row>
    <row r="27" spans="1:8" x14ac:dyDescent="0.4">
      <c r="A27" t="s">
        <v>32</v>
      </c>
      <c r="B27" s="2">
        <v>7.3999999999999996E-2</v>
      </c>
      <c r="C27" s="1">
        <v>291000</v>
      </c>
      <c r="D27" s="1">
        <f>C27*(1+$B$27)</f>
        <v>312534</v>
      </c>
      <c r="E27" s="1">
        <f>D27*(1+$B$27)</f>
        <v>335661.516</v>
      </c>
      <c r="F27" s="1">
        <f>E27*(1+$B$27)</f>
        <v>360500.468184</v>
      </c>
      <c r="G27" s="1">
        <f>F27*(1+$B$27)</f>
        <v>387177.50282961602</v>
      </c>
      <c r="H27" s="1">
        <f>G27*(1+$B$27)</f>
        <v>415828.63803900761</v>
      </c>
    </row>
    <row r="28" spans="1:8" x14ac:dyDescent="0.4">
      <c r="A28" t="s">
        <v>33</v>
      </c>
      <c r="C28" s="1">
        <f>SUM(C23:C27)</f>
        <v>1262000</v>
      </c>
      <c r="D28" s="1">
        <f>SUM(D23:D27)</f>
        <v>1302090</v>
      </c>
      <c r="E28" s="1">
        <f>SUM(E23:E27)</f>
        <v>1344683.94</v>
      </c>
      <c r="F28" s="1">
        <f>SUM(F23:F27)</f>
        <v>1389931.442664</v>
      </c>
      <c r="G28" s="1">
        <f>SUM(G23:G27)</f>
        <v>1437992.1656650079</v>
      </c>
      <c r="H28" s="1">
        <f>SUM(H23:H27)</f>
        <v>1489036.50041491</v>
      </c>
    </row>
    <row r="30" spans="1:8" x14ac:dyDescent="0.4">
      <c r="A30" t="s">
        <v>34</v>
      </c>
      <c r="C30" s="1">
        <f>SUM(C12,C20,C28)</f>
        <v>3186000</v>
      </c>
      <c r="D30" s="1">
        <f>SUM(D12,D20,D28)</f>
        <v>3273620</v>
      </c>
      <c r="E30" s="1">
        <f>SUM(E12,E20,E28)</f>
        <v>3366421.2119999998</v>
      </c>
      <c r="F30" s="1">
        <f>SUM(F12,F20,F28)</f>
        <v>3464700.1922239996</v>
      </c>
      <c r="G30" s="1">
        <f>SUM(G12,G20,G28)</f>
        <v>3568772.2188079553</v>
      </c>
      <c r="H30" s="1">
        <f>SUM(H12,H20,H28)</f>
        <v>3678972.5183030814</v>
      </c>
    </row>
    <row r="32" spans="1:8" x14ac:dyDescent="0.4">
      <c r="A32" t="s">
        <v>35</v>
      </c>
      <c r="B32" t="s">
        <v>36</v>
      </c>
    </row>
    <row r="33" spans="1:3" x14ac:dyDescent="0.4">
      <c r="A33" t="s">
        <v>37</v>
      </c>
      <c r="B33">
        <v>0.1</v>
      </c>
    </row>
    <row r="34" spans="1:3" x14ac:dyDescent="0.4">
      <c r="A34" t="s">
        <v>38</v>
      </c>
      <c r="B34">
        <v>0.3</v>
      </c>
    </row>
    <row r="35" spans="1:3" x14ac:dyDescent="0.4">
      <c r="A35" t="s">
        <v>39</v>
      </c>
      <c r="B35">
        <v>0.5</v>
      </c>
    </row>
    <row r="36" spans="1:3" x14ac:dyDescent="0.4">
      <c r="A36" t="s">
        <v>40</v>
      </c>
      <c r="B36">
        <v>0.7</v>
      </c>
    </row>
    <row r="37" spans="1:3" x14ac:dyDescent="0.4">
      <c r="A37" t="s">
        <v>41</v>
      </c>
      <c r="C37" s="1">
        <f>ROUND(C30*VLOOKUP("West",A33:B36,2,FALSE),0)</f>
        <v>2230200</v>
      </c>
    </row>
    <row r="39" spans="1:3" x14ac:dyDescent="0.4">
      <c r="A39" t="s">
        <v>42</v>
      </c>
      <c r="C39" s="1">
        <f>SUM(C30:H30)</f>
        <v>20538486.141335037</v>
      </c>
    </row>
    <row r="40" spans="1:3" x14ac:dyDescent="0.4">
      <c r="A40" t="s">
        <v>43</v>
      </c>
      <c r="C40" s="1">
        <f>ROUND(C39/Assumptions!B2,0)</f>
        <v>320914</v>
      </c>
    </row>
    <row r="41" spans="1:3" x14ac:dyDescent="0.4">
      <c r="A41" t="s">
        <v>44</v>
      </c>
      <c r="C41">
        <f>ROUND(Assumptions!B3/AVERAGE(C30:H30),1)</f>
        <v>1.1000000000000001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957-1616-419F-BC60-F9E015F98A2D}">
  <dimension ref="A1:B3"/>
  <sheetViews>
    <sheetView workbookViewId="0"/>
  </sheetViews>
  <sheetFormatPr defaultRowHeight="18.75" x14ac:dyDescent="0.4"/>
  <cols>
    <col min="2" max="2" width="10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64</v>
      </c>
    </row>
    <row r="3" spans="1:2" x14ac:dyDescent="0.4">
      <c r="A3" t="s">
        <v>3</v>
      </c>
      <c r="B3" s="1">
        <v>3800000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2026-09-03T08:10:29Z</dcterms:created>
  <dcterms:modified xsi:type="dcterms:W3CDTF">2026-09-03T08:10:33Z</dcterms:modified>
</cp:coreProperties>
</file>