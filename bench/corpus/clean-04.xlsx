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yank\Desktop\後藤さんのclaude\ai-builders-2026\gridlint\bench\corpus\"/>
    </mc:Choice>
  </mc:AlternateContent>
  <xr:revisionPtr revIDLastSave="0" documentId="8_{F91F5BC7-C6AF-4052-8CD4-CBFFE52FE720}" xr6:coauthVersionLast="47" xr6:coauthVersionMax="47" xr10:uidLastSave="{00000000-0000-0000-0000-000000000000}"/>
  <bookViews>
    <workbookView xWindow="-120" yWindow="-120" windowWidth="29040" windowHeight="15720" xr2:uid="{8D4B49F0-5E0F-443B-A179-A89F20A2C45D}"/>
  </bookViews>
  <sheets>
    <sheet name="Model" sheetId="2" r:id="rId1"/>
    <sheet name="Assumption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4" i="2" l="1"/>
  <c r="C13" i="2"/>
  <c r="C12" i="2"/>
  <c r="N10" i="2"/>
  <c r="M10" i="2"/>
  <c r="L10" i="2"/>
  <c r="K10" i="2"/>
  <c r="J10" i="2"/>
  <c r="I10" i="2"/>
  <c r="H10" i="2"/>
  <c r="G10" i="2"/>
  <c r="F10" i="2"/>
  <c r="E10" i="2"/>
  <c r="D10" i="2"/>
  <c r="C10" i="2"/>
  <c r="N9" i="2"/>
  <c r="M9" i="2"/>
  <c r="L9" i="2"/>
  <c r="K9" i="2"/>
  <c r="J9" i="2"/>
  <c r="I9" i="2"/>
  <c r="H9" i="2"/>
  <c r="G9" i="2"/>
  <c r="F9" i="2"/>
  <c r="E9" i="2"/>
  <c r="D9" i="2"/>
  <c r="C9" i="2"/>
  <c r="N8" i="2"/>
  <c r="M8" i="2"/>
  <c r="L8" i="2"/>
  <c r="K8" i="2"/>
  <c r="J8" i="2"/>
  <c r="I8" i="2"/>
  <c r="H8" i="2"/>
  <c r="G8" i="2"/>
  <c r="F8" i="2"/>
  <c r="E8" i="2"/>
  <c r="D8" i="2"/>
  <c r="N7" i="2"/>
  <c r="M7" i="2"/>
  <c r="L7" i="2"/>
  <c r="K7" i="2"/>
  <c r="J7" i="2"/>
  <c r="I7" i="2"/>
  <c r="H7" i="2"/>
  <c r="G7" i="2"/>
  <c r="F7" i="2"/>
  <c r="E7" i="2"/>
  <c r="D7" i="2"/>
  <c r="N6" i="2"/>
  <c r="M6" i="2"/>
  <c r="L6" i="2"/>
  <c r="K6" i="2"/>
  <c r="J6" i="2"/>
  <c r="I6" i="2"/>
  <c r="H6" i="2"/>
  <c r="G6" i="2"/>
  <c r="F6" i="2"/>
  <c r="E6" i="2"/>
  <c r="D6" i="2"/>
</calcChain>
</file>

<file path=xl/sharedStrings.xml><?xml version="1.0" encoding="utf-8"?>
<sst xmlns="http://schemas.openxmlformats.org/spreadsheetml/2006/main" count="28" uniqueCount="28">
  <si>
    <t>Assumption</t>
  </si>
  <si>
    <t>Value</t>
  </si>
  <si>
    <t>Headcount</t>
  </si>
  <si>
    <t>Cash on hand</t>
  </si>
  <si>
    <t>Plan</t>
  </si>
  <si>
    <t>Growth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</si>
  <si>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</si>
  <si>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</si>
  <si>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</si>
  <si>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</si>
  <si>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</si>
  <si>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</si>
  <si>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</si>
  <si>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</si>
  <si>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</si>
  <si>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</si>
  <si>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</si>
  <si>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</si>
  <si>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REVENUE</t>
  </si>
  <si>
    <t>Advertising</t>
  </si>
  <si>
    <t>Support</t>
  </si>
  <si>
    <t>Agency fees</t>
  </si>
  <si>
    <t>Total revenue</t>
  </si>
  <si>
    <t>Share of first month</t>
  </si>
  <si>
    <t>Full year</t>
  </si>
  <si>
    <t>Per head</t>
  </si>
  <si>
    <t>Months of cash</t>
  </si>
  <si>
    <t>helper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</si>
</sst>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9" formatCode="\$#,##0"/>
    <numFmt numFmtId="180" formatCode="0.0%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79" fontId="0" fillId="0" borderId="0" xfId="0" applyNumberFormat="1">
      <alignment vertical="center"/>
    </xf>
    <xf numFmtId="180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4DE77-B6D9-4372-8B6E-FEF750F185E6}">
  <dimension ref="A1:P14"/>
  <sheetViews>
    <sheetView tabSelected="1" workbookViewId="0"/>
  </sheetViews>
  <sheetFormatPr defaultRowHeight="18.75" x14ac:dyDescent="0.4"/>
  <cols>
    <col min="1" max="1" width="28.625" customWidth="1"/>
    <col min="3" max="3" width="11.75" bestFit="1" customWidth="1"/>
    <col min="16" max="16" width="0" hidden="1" customWidth="1"/>
  </cols>
  <sheetData>
    <row r="1" spans="1:16" x14ac:dyDescent="0.4">
      <c r="A1" t="s">
        <v>4</v>
      </c>
    </row>
    <row r="3" spans="1:16" x14ac:dyDescent="0.4"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P3" t="s">
        <v>27</v>
      </c>
    </row>
    <row r="4" spans="1:16" x14ac:dyDescent="0.4">
      <c r="P4">
        <v>4</v>
      </c>
    </row>
    <row r="5" spans="1:16" x14ac:dyDescent="0.4">
      <c r="A5" t="s">
        <v>18</v>
      </c>
      <c r="P5">
        <v>5</v>
      </c>
    </row>
    <row r="6" spans="1:16" x14ac:dyDescent="0.4">
      <c r="A6" t="s">
        <v>19</v>
      </c>
      <c r="B6" s="2">
        <v>3.2000000000000001E-2</v>
      </c>
      <c r="C6" s="1">
        <v>264000</v>
      </c>
      <c r="D6" s="1">
        <f>C6*(1+$B$6)</f>
        <v>272448</v>
      </c>
      <c r="E6" s="1">
        <f>D6*(1+$B$6)</f>
        <v>281166.33600000001</v>
      </c>
      <c r="F6" s="1">
        <f>E6*(1+$B$6)</f>
        <v>290163.65875200002</v>
      </c>
      <c r="G6" s="1">
        <f>F6*(1+$B$6)</f>
        <v>299448.89583206404</v>
      </c>
      <c r="H6" s="1">
        <f>G6*(1+$B$6)</f>
        <v>309031.26049869007</v>
      </c>
      <c r="I6" s="1">
        <f>H6*(1+$B$6)</f>
        <v>318920.26083464816</v>
      </c>
      <c r="J6" s="1">
        <f>I6*(1+$B$6)</f>
        <v>329125.70918135688</v>
      </c>
      <c r="K6" s="1">
        <f>J6*(1+$B$6)</f>
        <v>339657.7318751603</v>
      </c>
      <c r="L6" s="1">
        <f>K6*(1+$B$6)</f>
        <v>350526.77929516544</v>
      </c>
      <c r="M6" s="1">
        <f>L6*(1+$B$6)</f>
        <v>361743.63623261073</v>
      </c>
      <c r="N6" s="1">
        <f>M6*(1+$B$6)</f>
        <v>373319.43259205431</v>
      </c>
      <c r="P6">
        <v>6</v>
      </c>
    </row>
    <row r="7" spans="1:16" x14ac:dyDescent="0.4">
      <c r="A7" t="s">
        <v>20</v>
      </c>
      <c r="B7" s="2">
        <v>5.0000000000000001E-3</v>
      </c>
      <c r="C7" s="1">
        <v>246000</v>
      </c>
      <c r="D7" s="1">
        <f>C7*(1+$B$7)</f>
        <v>247229.99999999997</v>
      </c>
      <c r="E7" s="1">
        <f>D7*(1+$B$7)</f>
        <v>248466.14999999994</v>
      </c>
      <c r="F7" s="1">
        <f>E7*(1+$B$7)</f>
        <v>249708.4807499999</v>
      </c>
      <c r="G7" s="1">
        <f>F7*(1+$B$7)</f>
        <v>250957.02315374988</v>
      </c>
      <c r="H7" s="1">
        <f>G7*(1+$B$7)</f>
        <v>252211.8082695186</v>
      </c>
      <c r="I7" s="1">
        <f>H7*(1+$B$7)</f>
        <v>253472.86731086616</v>
      </c>
      <c r="J7" s="1">
        <f>I7*(1+$B$7)</f>
        <v>254740.23164742047</v>
      </c>
      <c r="K7" s="1">
        <f>J7*(1+$B$7)</f>
        <v>256013.93280565753</v>
      </c>
      <c r="L7" s="1">
        <f>K7*(1+$B$7)</f>
        <v>257294.0024696858</v>
      </c>
      <c r="M7" s="1">
        <f>L7*(1+$B$7)</f>
        <v>258580.47248203421</v>
      </c>
      <c r="N7" s="1">
        <f>M7*(1+$B$7)</f>
        <v>259873.37484444436</v>
      </c>
      <c r="P7">
        <v>7</v>
      </c>
    </row>
    <row r="8" spans="1:16" x14ac:dyDescent="0.4">
      <c r="A8" t="s">
        <v>21</v>
      </c>
      <c r="B8" s="2">
        <v>-6.0000000000000001E-3</v>
      </c>
      <c r="C8" s="1">
        <v>355000</v>
      </c>
      <c r="D8" s="1">
        <f>C8*(1+$B$8)</f>
        <v>352870</v>
      </c>
      <c r="E8" s="1">
        <f>D8*(1+$B$8)</f>
        <v>350752.77999999997</v>
      </c>
      <c r="F8" s="1">
        <f>E8*(1+$B$8)</f>
        <v>348648.26331999997</v>
      </c>
      <c r="G8" s="1">
        <f>F8*(1+$B$8)</f>
        <v>346556.37374007999</v>
      </c>
      <c r="H8" s="1">
        <f>G8*(1+$B$8)</f>
        <v>344477.0354976395</v>
      </c>
      <c r="I8" s="1">
        <f>H8*(1+$B$8)</f>
        <v>342410.17328465369</v>
      </c>
      <c r="J8" s="1">
        <f>I8*(1+$B$8)</f>
        <v>340355.71224494575</v>
      </c>
      <c r="K8" s="1">
        <f>J8*(1+$B$8)</f>
        <v>338313.57797147607</v>
      </c>
      <c r="L8" s="1">
        <f>K8*(1+$B$8)</f>
        <v>336283.6965036472</v>
      </c>
      <c r="M8" s="1">
        <f>L8*(1+$B$8)</f>
        <v>334265.9943246253</v>
      </c>
      <c r="N8" s="1">
        <f>M8*(1+$B$8)</f>
        <v>332260.39835867751</v>
      </c>
    </row>
    <row r="9" spans="1:16" x14ac:dyDescent="0.4">
      <c r="A9" t="s">
        <v>22</v>
      </c>
      <c r="C9" s="1">
        <f>SUM(C6:C8)</f>
        <v>865000</v>
      </c>
      <c r="D9" s="1">
        <f>SUM(D6:D8)</f>
        <v>872548</v>
      </c>
      <c r="E9" s="1">
        <f>SUM(E6:E8)</f>
        <v>880385.26599999983</v>
      </c>
      <c r="F9" s="1">
        <f>SUM(F6:F8)</f>
        <v>888520.40282199997</v>
      </c>
      <c r="G9" s="1">
        <f>SUM(G6:G8)</f>
        <v>896962.2927258939</v>
      </c>
      <c r="H9" s="1">
        <f>SUM(H6:H8)</f>
        <v>905720.10426584817</v>
      </c>
      <c r="I9" s="1">
        <f>SUM(I6:I8)</f>
        <v>914803.30143016798</v>
      </c>
      <c r="J9" s="1">
        <f>SUM(J6:J8)</f>
        <v>924221.6530737232</v>
      </c>
      <c r="K9" s="1">
        <f>SUM(K6:K8)</f>
        <v>933985.24265229399</v>
      </c>
      <c r="L9" s="1">
        <f>SUM(L6:L8)</f>
        <v>944104.47826849832</v>
      </c>
      <c r="M9" s="1">
        <f>SUM(M6:M8)</f>
        <v>954590.10303927027</v>
      </c>
      <c r="N9" s="1">
        <f>SUM(N6:N8)</f>
        <v>965453.20579517621</v>
      </c>
    </row>
    <row r="10" spans="1:16" x14ac:dyDescent="0.4">
      <c r="A10" t="s">
        <v>23</v>
      </c>
      <c r="C10" s="2">
        <f>C9/$C$9</f>
        <v>1</v>
      </c>
      <c r="D10" s="2">
        <f>D9/$C$9</f>
        <v>1.0087260115606937</v>
      </c>
      <c r="E10" s="2">
        <f>E9/$C$9</f>
        <v>1.0177864346820806</v>
      </c>
      <c r="F10" s="2">
        <f>F9/$C$9</f>
        <v>1.0271912171352602</v>
      </c>
      <c r="G10" s="2">
        <f>G9/$C$9</f>
        <v>1.036950627428779</v>
      </c>
      <c r="H10" s="2">
        <f>H9/$C$9</f>
        <v>1.0470752650472233</v>
      </c>
      <c r="I10" s="2">
        <f>I9/$C$9</f>
        <v>1.0575760710175353</v>
      </c>
      <c r="J10" s="2">
        <f>J9/$C$9</f>
        <v>1.0684643388135528</v>
      </c>
      <c r="K10" s="2">
        <f>K9/$C$9</f>
        <v>1.0797517256095885</v>
      </c>
      <c r="L10" s="2">
        <f>L9/$C$9</f>
        <v>1.0914502638942176</v>
      </c>
      <c r="M10" s="2">
        <f>M9/$C$9</f>
        <v>1.1035723734558038</v>
      </c>
      <c r="N10" s="2">
        <f>N9/$C$9</f>
        <v>1.1161308737516489</v>
      </c>
    </row>
    <row r="12" spans="1:16" x14ac:dyDescent="0.4">
      <c r="A12" t="s">
        <v>24</v>
      </c>
      <c r="C12" s="1">
        <f>SUM(C9:N9)</f>
        <v>10946294.050072871</v>
      </c>
    </row>
    <row r="13" spans="1:16" x14ac:dyDescent="0.4">
      <c r="A13" t="s">
        <v>25</v>
      </c>
      <c r="C13" s="1">
        <f>ROUND(C12/Assumptions!B2,0)</f>
        <v>107317</v>
      </c>
    </row>
    <row r="14" spans="1:16" x14ac:dyDescent="0.4">
      <c r="A14" t="s">
        <v>26</v>
      </c>
      <c r="C14">
        <f>ROUND(Assumptions!B3/AVERAGE(C9:N9),1)</f>
        <v>3.6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82FBD-0B50-41D8-8687-0CE2463C7F92}">
  <dimension ref="A1:B3"/>
  <sheetViews>
    <sheetView workbookViewId="0"/>
  </sheetViews>
  <sheetFormatPr defaultRowHeight="18.75" x14ac:dyDescent="0.4"/>
  <cols>
    <col min="2" max="2" width="10.625" bestFit="1" customWidth="1"/>
  </cols>
  <sheetData>
    <row r="1" spans="1:2" x14ac:dyDescent="0.4">
      <c r="A1" t="s">
        <v>0</v>
      </c>
      <c r="B1" t="s">
        <v>1</v>
      </c>
    </row>
    <row r="2" spans="1:2" x14ac:dyDescent="0.4">
      <c r="A2" t="s">
        <v>2</v>
      </c>
      <c r="B2">
        <v>102</v>
      </c>
    </row>
    <row r="3" spans="1:2" x14ac:dyDescent="0.4">
      <c r="A3" t="s">
        <v>3</v>
      </c>
      <c r="B3" s="1">
        <v>3300000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Model</vt:lpstr>
      <vt:lpstr>Assumptions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太田　悠介</dc:creator>
  <cp:lastModifiedBy>太田　悠介</cp:lastModifiedBy>
  <dcterms:created xsi:type="dcterms:W3CDTF">2026-09-03T13:35:36Z</dcterms:created>
  <dcterms:modified xsi:type="dcterms:W3CDTF">2026-09-03T13:35:38Z</dcterms:modified>
</cp:coreProperties>
</file>