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C9A011C0-DF17-48AF-9CDF-60B27D808183}" xr6:coauthVersionLast="47" xr6:coauthVersionMax="47" xr10:uidLastSave="{00000000-0000-0000-0000-000000000000}"/>
  <bookViews>
    <workbookView xWindow="-120" yWindow="-120" windowWidth="29040" windowHeight="15720" xr2:uid="{6474AC96-495F-4EF9-889A-1931CB8BD3EE}"/>
  </bookViews>
  <sheets>
    <sheet name="Mode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8" i="1" l="1"/>
  <c r="N26" i="1"/>
  <c r="M26" i="1"/>
  <c r="L26" i="1"/>
  <c r="K26" i="1"/>
  <c r="J26" i="1"/>
  <c r="I26" i="1"/>
  <c r="H26" i="1"/>
  <c r="G26" i="1"/>
  <c r="F26" i="1"/>
  <c r="E26" i="1"/>
  <c r="D26" i="1"/>
  <c r="C26" i="1"/>
  <c r="N25" i="1"/>
  <c r="M25" i="1"/>
  <c r="L25" i="1"/>
  <c r="K25" i="1"/>
  <c r="J25" i="1"/>
  <c r="I25" i="1"/>
  <c r="H25" i="1"/>
  <c r="G25" i="1"/>
  <c r="F25" i="1"/>
  <c r="E25" i="1"/>
  <c r="D25" i="1"/>
  <c r="C25" i="1"/>
  <c r="N23" i="1"/>
  <c r="M23" i="1"/>
  <c r="L23" i="1"/>
  <c r="K23" i="1"/>
  <c r="J23" i="1"/>
  <c r="I23" i="1"/>
  <c r="H23" i="1"/>
  <c r="G23" i="1"/>
  <c r="F23" i="1"/>
  <c r="E23" i="1"/>
  <c r="D23" i="1"/>
  <c r="C23" i="1"/>
  <c r="N22" i="1"/>
  <c r="M22" i="1"/>
  <c r="L22" i="1"/>
  <c r="K22" i="1"/>
  <c r="J22" i="1"/>
  <c r="I22" i="1"/>
  <c r="H22" i="1"/>
  <c r="G22" i="1"/>
  <c r="F22" i="1"/>
  <c r="E22" i="1"/>
  <c r="D22" i="1"/>
  <c r="N21" i="1"/>
  <c r="M21" i="1"/>
  <c r="L21" i="1"/>
  <c r="K21" i="1"/>
  <c r="J21" i="1"/>
  <c r="I21" i="1"/>
  <c r="H21" i="1"/>
  <c r="G21" i="1"/>
  <c r="F21" i="1"/>
  <c r="E21" i="1"/>
  <c r="D21" i="1"/>
  <c r="N20" i="1"/>
  <c r="M20" i="1"/>
  <c r="L20" i="1"/>
  <c r="K20" i="1"/>
  <c r="J20" i="1"/>
  <c r="I20" i="1"/>
  <c r="H20" i="1"/>
  <c r="G20" i="1"/>
  <c r="F20" i="1"/>
  <c r="E20" i="1"/>
  <c r="D20" i="1"/>
  <c r="N19" i="1"/>
  <c r="M19" i="1"/>
  <c r="L19" i="1"/>
  <c r="K19" i="1"/>
  <c r="J19" i="1"/>
  <c r="I19" i="1"/>
  <c r="H19" i="1"/>
  <c r="G19" i="1"/>
  <c r="F19" i="1"/>
  <c r="E19" i="1"/>
  <c r="D19" i="1"/>
  <c r="N18" i="1"/>
  <c r="M18" i="1"/>
  <c r="L18" i="1"/>
  <c r="K18" i="1"/>
  <c r="J18" i="1"/>
  <c r="I18" i="1"/>
  <c r="H18" i="1"/>
  <c r="G18" i="1"/>
  <c r="F18" i="1"/>
  <c r="E18" i="1"/>
  <c r="D18" i="1"/>
  <c r="N16" i="1"/>
  <c r="M16" i="1"/>
  <c r="L16" i="1"/>
  <c r="K16" i="1"/>
  <c r="J16" i="1"/>
  <c r="I16" i="1"/>
  <c r="H16" i="1"/>
  <c r="G16" i="1"/>
  <c r="F16" i="1"/>
  <c r="E16" i="1"/>
  <c r="D16" i="1"/>
  <c r="C16" i="1"/>
  <c r="N15" i="1"/>
  <c r="M15" i="1"/>
  <c r="L15" i="1"/>
  <c r="K15" i="1"/>
  <c r="J15" i="1"/>
  <c r="I15" i="1"/>
  <c r="H15" i="1"/>
  <c r="G15" i="1"/>
  <c r="F15" i="1"/>
  <c r="E15" i="1"/>
  <c r="D15" i="1"/>
  <c r="N14" i="1"/>
  <c r="M14" i="1"/>
  <c r="L14" i="1"/>
  <c r="K14" i="1"/>
  <c r="J14" i="1"/>
  <c r="I14" i="1"/>
  <c r="H14" i="1"/>
  <c r="G14" i="1"/>
  <c r="F14" i="1"/>
  <c r="E14" i="1"/>
  <c r="D14" i="1"/>
  <c r="N13" i="1"/>
  <c r="M13" i="1"/>
  <c r="L13" i="1"/>
  <c r="K13" i="1"/>
  <c r="J13" i="1"/>
  <c r="I13" i="1"/>
  <c r="H13" i="1"/>
  <c r="G13" i="1"/>
  <c r="F13" i="1"/>
  <c r="E13" i="1"/>
  <c r="D13" i="1"/>
  <c r="N12" i="1"/>
  <c r="M12" i="1"/>
  <c r="L12" i="1"/>
  <c r="K12" i="1"/>
  <c r="J12" i="1"/>
  <c r="I12" i="1"/>
  <c r="H12" i="1"/>
  <c r="G12" i="1"/>
  <c r="F12" i="1"/>
  <c r="E12" i="1"/>
  <c r="D12" i="1"/>
  <c r="N11" i="1"/>
  <c r="M11" i="1"/>
  <c r="L11" i="1"/>
  <c r="K11" i="1"/>
  <c r="J11" i="1"/>
  <c r="I11" i="1"/>
  <c r="H11" i="1"/>
  <c r="G11" i="1"/>
  <c r="F11" i="1"/>
  <c r="E11" i="1"/>
  <c r="D11" i="1"/>
  <c r="N9" i="1"/>
  <c r="M9" i="1"/>
  <c r="L9" i="1"/>
  <c r="K9" i="1"/>
  <c r="J9" i="1"/>
  <c r="I9" i="1"/>
  <c r="H9" i="1"/>
  <c r="G9" i="1"/>
  <c r="F9" i="1"/>
  <c r="E9" i="1"/>
  <c r="D9" i="1"/>
  <c r="C9" i="1"/>
  <c r="N8" i="1"/>
  <c r="M8" i="1"/>
  <c r="L8" i="1"/>
  <c r="K8" i="1"/>
  <c r="J8" i="1"/>
  <c r="I8" i="1"/>
  <c r="H8" i="1"/>
  <c r="G8" i="1"/>
  <c r="F8" i="1"/>
  <c r="E8" i="1"/>
  <c r="D8" i="1"/>
  <c r="N7" i="1"/>
  <c r="M7" i="1"/>
  <c r="L7" i="1"/>
  <c r="K7" i="1"/>
  <c r="J7" i="1"/>
  <c r="I7" i="1"/>
  <c r="H7" i="1"/>
  <c r="G7" i="1"/>
  <c r="F7" i="1"/>
  <c r="E7" i="1"/>
  <c r="D7" i="1"/>
  <c r="N6" i="1"/>
  <c r="M6" i="1"/>
  <c r="L6" i="1"/>
  <c r="K6" i="1"/>
  <c r="J6" i="1"/>
  <c r="I6" i="1"/>
  <c r="H6" i="1"/>
  <c r="G6" i="1"/>
  <c r="F6" i="1"/>
  <c r="E6" i="1"/>
  <c r="D6" i="1"/>
  <c r="N5" i="1"/>
  <c r="M5" i="1"/>
  <c r="L5" i="1"/>
  <c r="K5" i="1"/>
  <c r="J5" i="1"/>
  <c r="I5" i="1"/>
  <c r="H5" i="1"/>
  <c r="G5" i="1"/>
  <c r="F5" i="1"/>
  <c r="E5" i="1"/>
  <c r="D5" i="1"/>
</calcChain>
</file>

<file path=xl/sharedStrings.xml><?xml version="1.0" encoding="utf-8"?>
<sst xmlns="http://schemas.openxmlformats.org/spreadsheetml/2006/main" count="38" uniqueCount="38">
  <si>
    <t>Plan</t>
  </si>
  <si>
    <t>Growth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</si>
  <si>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</si>
  <si>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</si>
  <si>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</si>
  <si>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</si>
  <si>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</si>
  <si>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</si>
  <si>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</si>
  <si>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</si>
  <si>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</si>
  <si>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</si>
  <si>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</si>
  <si>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</si>
  <si>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</si>
  <si>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Support</t>
  </si>
  <si>
    <t>Recruiting</t>
  </si>
  <si>
    <t>Data vendors</t>
  </si>
  <si>
    <t>Training</t>
  </si>
  <si>
    <t>Total revenue</t>
  </si>
  <si>
    <t>COST OF SALES</t>
  </si>
  <si>
    <t>Subscriptions</t>
  </si>
  <si>
    <t>Events</t>
  </si>
  <si>
    <t>Agency fees</t>
  </si>
  <si>
    <t>Contractors</t>
  </si>
  <si>
    <t>Benefits</t>
  </si>
  <si>
    <t>Total cost of sales</t>
  </si>
  <si>
    <t>OPERATING COSTS</t>
  </si>
  <si>
    <t>Advertising</t>
  </si>
  <si>
    <t>Software tools</t>
  </si>
  <si>
    <t>Office rent</t>
  </si>
  <si>
    <t>Sponsorships</t>
  </si>
  <si>
    <t>Cloud hosting</t>
  </si>
  <si>
    <t>Total operating costs</t>
  </si>
  <si>
    <t>Grand total</t>
  </si>
  <si>
    <t>Share of first month</t>
  </si>
  <si>
    <t>Full year</t>
  </si>
  <si>
    <t>helper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</si>
</sst>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%"/>
    <numFmt numFmtId="180" formatCode="\$#,##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D2E9B-8DC1-46F8-9E7C-EBF274A4D4B8}">
  <dimension ref="A1:P28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9" width="10.625" bestFit="1" customWidth="1"/>
    <col min="10" max="14" width="10.75" bestFit="1" customWidth="1"/>
    <col min="16" max="16" width="0" hidden="1" customWidth="1"/>
  </cols>
  <sheetData>
    <row r="1" spans="1:16" x14ac:dyDescent="0.4">
      <c r="A1" t="s">
        <v>0</v>
      </c>
    </row>
    <row r="3" spans="1:16" x14ac:dyDescent="0.4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P3" t="s">
        <v>37</v>
      </c>
    </row>
    <row r="4" spans="1:16" x14ac:dyDescent="0.4">
      <c r="A4" t="s">
        <v>14</v>
      </c>
      <c r="P4">
        <v>4</v>
      </c>
    </row>
    <row r="5" spans="1:16" x14ac:dyDescent="0.4">
      <c r="A5" t="s">
        <v>15</v>
      </c>
      <c r="B5" s="1">
        <v>5.6000000000000001E-2</v>
      </c>
      <c r="C5" s="2">
        <v>223000</v>
      </c>
      <c r="D5" s="2">
        <f>C5*(1+$B$5)</f>
        <v>235488</v>
      </c>
      <c r="E5" s="2">
        <f>D5*(1+$B$5)</f>
        <v>248675.32800000001</v>
      </c>
      <c r="F5" s="2">
        <f>E5*(1+$B$5)</f>
        <v>262601.14636800002</v>
      </c>
      <c r="G5" s="2">
        <f>F5*(1+$B$5)</f>
        <v>277306.81056460802</v>
      </c>
      <c r="H5" s="2">
        <f>G5*(1+$B$5)</f>
        <v>292835.99195622606</v>
      </c>
      <c r="I5" s="2">
        <f>H5*(1+$B$5)</f>
        <v>309234.80750577472</v>
      </c>
      <c r="J5" s="2">
        <f>I5*(1+$B$5)</f>
        <v>326551.95672609814</v>
      </c>
      <c r="K5" s="2">
        <f>J5*(1+$B$5)</f>
        <v>344838.86630275968</v>
      </c>
      <c r="L5" s="2">
        <f>K5*(1+$B$5)</f>
        <v>364149.84281571425</v>
      </c>
      <c r="M5" s="2">
        <f>L5*(1+$B$5)</f>
        <v>384542.23401339428</v>
      </c>
      <c r="N5" s="2">
        <f>M5*(1+$B$5)</f>
        <v>406076.59911814437</v>
      </c>
      <c r="P5">
        <v>5</v>
      </c>
    </row>
    <row r="6" spans="1:16" x14ac:dyDescent="0.4">
      <c r="A6" t="s">
        <v>16</v>
      </c>
      <c r="B6" s="1">
        <v>5.8000000000000003E-2</v>
      </c>
      <c r="C6" s="2">
        <v>42000</v>
      </c>
      <c r="D6" s="2">
        <f>C6*(1+$B$6)</f>
        <v>44436</v>
      </c>
      <c r="E6" s="2">
        <f>D6*(1+$B$6)</f>
        <v>47013.288</v>
      </c>
      <c r="F6" s="2">
        <f>E6*(1+$B$6)</f>
        <v>49740.058704000003</v>
      </c>
      <c r="G6" s="2">
        <f>F6*(1+$B$6)</f>
        <v>52624.982108832002</v>
      </c>
      <c r="H6" s="2">
        <f>G6*(1+$B$6)</f>
        <v>55677.231071144262</v>
      </c>
      <c r="I6" s="2">
        <f>H6*(1+$B$6)</f>
        <v>58906.510473270631</v>
      </c>
      <c r="J6" s="2">
        <f>I6*(1+$B$6)</f>
        <v>62323.088080720328</v>
      </c>
      <c r="K6" s="2">
        <f>J6*(1+$B$6)</f>
        <v>65937.827189402116</v>
      </c>
      <c r="L6" s="2">
        <f>K6*(1+$B$6)</f>
        <v>69762.221166387448</v>
      </c>
      <c r="M6" s="2">
        <f>L6*(1+$B$6)</f>
        <v>73808.429994037928</v>
      </c>
      <c r="N6" s="2">
        <f>M6*(1+$B$6)</f>
        <v>78089.318933692135</v>
      </c>
      <c r="P6">
        <v>6</v>
      </c>
    </row>
    <row r="7" spans="1:16" x14ac:dyDescent="0.4">
      <c r="A7" t="s">
        <v>17</v>
      </c>
      <c r="B7" s="1">
        <v>0.05</v>
      </c>
      <c r="C7" s="2">
        <v>190000</v>
      </c>
      <c r="D7" s="2">
        <f>C7*(1+$B$7)</f>
        <v>199500</v>
      </c>
      <c r="E7" s="2">
        <f>D7*(1+$B$7)</f>
        <v>209475</v>
      </c>
      <c r="F7" s="2">
        <f>E7*(1+$B$7)</f>
        <v>219948.75</v>
      </c>
      <c r="G7" s="2">
        <f>F7*(1+$B$7)</f>
        <v>230946.1875</v>
      </c>
      <c r="H7" s="2">
        <f>G7*(1+$B$7)</f>
        <v>242493.49687500001</v>
      </c>
      <c r="I7" s="2">
        <f>H7*(1+$B$7)</f>
        <v>254618.17171875003</v>
      </c>
      <c r="J7" s="2">
        <f>I7*(1+$B$7)</f>
        <v>267349.08030468755</v>
      </c>
      <c r="K7" s="2">
        <f>J7*(1+$B$7)</f>
        <v>280716.53431992192</v>
      </c>
      <c r="L7" s="2">
        <f>K7*(1+$B$7)</f>
        <v>294752.361035918</v>
      </c>
      <c r="M7" s="2">
        <f>L7*(1+$B$7)</f>
        <v>309489.97908771393</v>
      </c>
      <c r="N7" s="2">
        <f>M7*(1+$B$7)</f>
        <v>324964.47804209962</v>
      </c>
      <c r="P7">
        <v>7</v>
      </c>
    </row>
    <row r="8" spans="1:16" x14ac:dyDescent="0.4">
      <c r="A8" t="s">
        <v>18</v>
      </c>
      <c r="B8" s="1">
        <v>6.2E-2</v>
      </c>
      <c r="C8" s="2">
        <v>246000</v>
      </c>
      <c r="D8" s="2">
        <f>C8*(1+$B$8)</f>
        <v>261252</v>
      </c>
      <c r="E8" s="2">
        <f>D8*(1+$B$8)</f>
        <v>277449.62400000001</v>
      </c>
      <c r="F8" s="2">
        <f>E8*(1+$B$8)</f>
        <v>294651.500688</v>
      </c>
      <c r="G8" s="2">
        <f>F8*(1+$B$8)</f>
        <v>312919.89373065601</v>
      </c>
      <c r="H8" s="2">
        <f>G8*(1+$B$8)</f>
        <v>332320.92714195669</v>
      </c>
      <c r="I8" s="2">
        <f>H8*(1+$B$8)</f>
        <v>352924.82462475804</v>
      </c>
      <c r="J8" s="2">
        <f>I8*(1+$B$8)</f>
        <v>374806.16375149303</v>
      </c>
      <c r="K8" s="2">
        <f>J8*(1+$B$8)</f>
        <v>398044.1459040856</v>
      </c>
      <c r="L8" s="2">
        <f>K8*(1+$B$8)</f>
        <v>422722.88295013894</v>
      </c>
      <c r="M8" s="2">
        <f>L8*(1+$B$8)</f>
        <v>448931.70169304759</v>
      </c>
      <c r="N8" s="2">
        <f>M8*(1+$B$8)</f>
        <v>476765.46719801659</v>
      </c>
    </row>
    <row r="9" spans="1:16" x14ac:dyDescent="0.4">
      <c r="A9" t="s">
        <v>19</v>
      </c>
      <c r="C9" s="2">
        <f>SUM(C5:C8)</f>
        <v>701000</v>
      </c>
      <c r="D9" s="2">
        <f>SUM(D5:D8)</f>
        <v>740676</v>
      </c>
      <c r="E9" s="2">
        <f>SUM(E5:E8)</f>
        <v>782613.24</v>
      </c>
      <c r="F9" s="2">
        <f>SUM(F5:F8)</f>
        <v>826941.45576000004</v>
      </c>
      <c r="G9" s="2">
        <f>SUM(G5:G8)</f>
        <v>873797.87390409596</v>
      </c>
      <c r="H9" s="2">
        <f>SUM(H5:H8)</f>
        <v>923327.64704432711</v>
      </c>
      <c r="I9" s="2">
        <f>SUM(I5:I8)</f>
        <v>975684.31432255334</v>
      </c>
      <c r="J9" s="2">
        <f>SUM(J5:J8)</f>
        <v>1031030.2888629991</v>
      </c>
      <c r="K9" s="2">
        <f>SUM(K5:K8)</f>
        <v>1089537.3737161693</v>
      </c>
      <c r="L9" s="2">
        <f>SUM(L5:L8)</f>
        <v>1151387.3079681587</v>
      </c>
      <c r="M9" s="2">
        <f>SUM(M5:M8)</f>
        <v>1216772.3447881937</v>
      </c>
      <c r="N9" s="2">
        <f>SUM(N5:N8)</f>
        <v>1285895.8632919528</v>
      </c>
    </row>
    <row r="10" spans="1:16" x14ac:dyDescent="0.4">
      <c r="A10" t="s">
        <v>20</v>
      </c>
    </row>
    <row r="11" spans="1:16" x14ac:dyDescent="0.4">
      <c r="A11" t="s">
        <v>21</v>
      </c>
      <c r="B11" s="1">
        <v>4.8000000000000001E-2</v>
      </c>
      <c r="C11" s="2">
        <v>106000</v>
      </c>
      <c r="D11" s="2">
        <f>C11*(1+$B$11)</f>
        <v>111088</v>
      </c>
      <c r="E11" s="2">
        <f>D11*(1+$B$11)</f>
        <v>116420.224</v>
      </c>
      <c r="F11" s="2">
        <f>E11*(1+$B$11)</f>
        <v>122008.39475200001</v>
      </c>
      <c r="G11" s="2">
        <f>F11*(1+$B$11)</f>
        <v>127864.79770009601</v>
      </c>
      <c r="H11" s="2">
        <f>G11*(1+$B$11)</f>
        <v>134002.30798970061</v>
      </c>
      <c r="I11" s="2">
        <f>H11*(1+$B$11)</f>
        <v>140434.41877320624</v>
      </c>
      <c r="J11" s="2">
        <f>I11*(1+$B$11)</f>
        <v>147175.27087432015</v>
      </c>
      <c r="K11" s="2">
        <f>J11*(1+$B$11)</f>
        <v>154239.68387628751</v>
      </c>
      <c r="L11" s="2">
        <f>K11*(1+$B$11)</f>
        <v>161643.18870234932</v>
      </c>
      <c r="M11" s="2">
        <f>L11*(1+$B$11)</f>
        <v>169402.06176006209</v>
      </c>
      <c r="N11" s="2">
        <f>M11*(1+$B$11)</f>
        <v>177533.36072454508</v>
      </c>
    </row>
    <row r="12" spans="1:16" x14ac:dyDescent="0.4">
      <c r="A12" t="s">
        <v>22</v>
      </c>
      <c r="B12" s="1">
        <v>6.3E-2</v>
      </c>
      <c r="C12" s="2">
        <v>351000</v>
      </c>
      <c r="D12" s="2">
        <f>C12*(1+$B$12)</f>
        <v>373113</v>
      </c>
      <c r="E12" s="2">
        <f>D12*(1+$B$12)</f>
        <v>396619.11900000001</v>
      </c>
      <c r="F12" s="2">
        <f>E12*(1+$B$12)</f>
        <v>421606.12349699996</v>
      </c>
      <c r="G12" s="2">
        <f>F12*(1+$B$12)</f>
        <v>448167.30927731097</v>
      </c>
      <c r="H12" s="2">
        <f>G12*(1+$B$12)</f>
        <v>476401.84976178152</v>
      </c>
      <c r="I12" s="2">
        <f>H12*(1+$B$12)</f>
        <v>506415.16629677371</v>
      </c>
      <c r="J12" s="2">
        <f>I12*(1+$B$12)</f>
        <v>538319.32177347038</v>
      </c>
      <c r="K12" s="2">
        <f>J12*(1+$B$12)</f>
        <v>572233.43904519896</v>
      </c>
      <c r="L12" s="2">
        <f>K12*(1+$B$12)</f>
        <v>608284.14570504648</v>
      </c>
      <c r="M12" s="2">
        <f>L12*(1+$B$12)</f>
        <v>646606.04688446433</v>
      </c>
      <c r="N12" s="2">
        <f>M12*(1+$B$12)</f>
        <v>687342.2278381855</v>
      </c>
    </row>
    <row r="13" spans="1:16" x14ac:dyDescent="0.4">
      <c r="A13" t="s">
        <v>23</v>
      </c>
      <c r="B13" s="1">
        <v>-1.9E-2</v>
      </c>
      <c r="C13" s="2">
        <v>61000</v>
      </c>
      <c r="D13" s="2">
        <f>C13*(1+$B$13)</f>
        <v>59841</v>
      </c>
      <c r="E13" s="2">
        <f>D13*(1+$B$13)</f>
        <v>58704.021000000001</v>
      </c>
      <c r="F13" s="2">
        <f>E13*(1+$B$13)</f>
        <v>57588.644601</v>
      </c>
      <c r="G13" s="2">
        <f>F13*(1+$B$13)</f>
        <v>56494.460353581002</v>
      </c>
      <c r="H13" s="2">
        <f>G13*(1+$B$13)</f>
        <v>55421.065606862961</v>
      </c>
      <c r="I13" s="2">
        <f>H13*(1+$B$13)</f>
        <v>54368.065360332563</v>
      </c>
      <c r="J13" s="2">
        <f>I13*(1+$B$13)</f>
        <v>53335.072118486241</v>
      </c>
      <c r="K13" s="2">
        <f>J13*(1+$B$13)</f>
        <v>52321.705748234999</v>
      </c>
      <c r="L13" s="2">
        <f>K13*(1+$B$13)</f>
        <v>51327.593339018531</v>
      </c>
      <c r="M13" s="2">
        <f>L13*(1+$B$13)</f>
        <v>50352.369065577179</v>
      </c>
      <c r="N13" s="2">
        <f>M13*(1+$B$13)</f>
        <v>49395.674053331211</v>
      </c>
    </row>
    <row r="14" spans="1:16" x14ac:dyDescent="0.4">
      <c r="A14" t="s">
        <v>24</v>
      </c>
      <c r="B14" s="1">
        <v>1.2999999999999999E-2</v>
      </c>
      <c r="C14" s="2">
        <v>295000</v>
      </c>
      <c r="D14" s="2">
        <f>C14*(1+$B$14)</f>
        <v>298834.99999999994</v>
      </c>
      <c r="E14" s="2">
        <f>D14*(1+$B$14)</f>
        <v>302719.85499999992</v>
      </c>
      <c r="F14" s="2">
        <f>E14*(1+$B$14)</f>
        <v>306655.21311499987</v>
      </c>
      <c r="G14" s="2">
        <f>F14*(1+$B$14)</f>
        <v>310641.73088549485</v>
      </c>
      <c r="H14" s="2">
        <f>G14*(1+$B$14)</f>
        <v>314680.07338700624</v>
      </c>
      <c r="I14" s="2">
        <f>H14*(1+$B$14)</f>
        <v>318770.91434103728</v>
      </c>
      <c r="J14" s="2">
        <f>I14*(1+$B$14)</f>
        <v>322914.93622747075</v>
      </c>
      <c r="K14" s="2">
        <f>J14*(1+$B$14)</f>
        <v>327112.83039842785</v>
      </c>
      <c r="L14" s="2">
        <f>K14*(1+$B$14)</f>
        <v>331365.29719360737</v>
      </c>
      <c r="M14" s="2">
        <f>L14*(1+$B$14)</f>
        <v>335673.04605712421</v>
      </c>
      <c r="N14" s="2">
        <f>M14*(1+$B$14)</f>
        <v>340036.79565586679</v>
      </c>
    </row>
    <row r="15" spans="1:16" x14ac:dyDescent="0.4">
      <c r="A15" t="s">
        <v>25</v>
      </c>
      <c r="B15" s="1">
        <v>4.0000000000000001E-3</v>
      </c>
      <c r="C15" s="2">
        <v>236000</v>
      </c>
      <c r="D15" s="2">
        <f>C15*(1+$B$15)</f>
        <v>236944</v>
      </c>
      <c r="E15" s="2">
        <f>D15*(1+$B$15)</f>
        <v>237891.77600000001</v>
      </c>
      <c r="F15" s="2">
        <f>E15*(1+$B$15)</f>
        <v>238843.343104</v>
      </c>
      <c r="G15" s="2">
        <f>F15*(1+$B$15)</f>
        <v>239798.71647641601</v>
      </c>
      <c r="H15" s="2">
        <f>G15*(1+$B$15)</f>
        <v>240757.91134232166</v>
      </c>
      <c r="I15" s="2">
        <f>H15*(1+$B$15)</f>
        <v>241720.94298769094</v>
      </c>
      <c r="J15" s="2">
        <f>I15*(1+$B$15)</f>
        <v>242687.8267596417</v>
      </c>
      <c r="K15" s="2">
        <f>J15*(1+$B$15)</f>
        <v>243658.57806668026</v>
      </c>
      <c r="L15" s="2">
        <f>K15*(1+$B$15)</f>
        <v>244633.21237894698</v>
      </c>
      <c r="M15" s="2">
        <f>L15*(1+$B$15)</f>
        <v>245611.74522846277</v>
      </c>
      <c r="N15" s="2">
        <f>M15*(1+$B$15)</f>
        <v>246594.1922093766</v>
      </c>
    </row>
    <row r="16" spans="1:16" x14ac:dyDescent="0.4">
      <c r="A16" t="s">
        <v>26</v>
      </c>
      <c r="C16" s="2">
        <f>SUM(C11:C15)</f>
        <v>1049000</v>
      </c>
      <c r="D16" s="2">
        <f>SUM(D11:D15)</f>
        <v>1079821</v>
      </c>
      <c r="E16" s="2">
        <f>SUM(E11:E15)</f>
        <v>1112354.9949999999</v>
      </c>
      <c r="F16" s="2">
        <f>SUM(F11:F15)</f>
        <v>1146701.7190689999</v>
      </c>
      <c r="G16" s="2">
        <f>SUM(G11:G15)</f>
        <v>1182967.0146928988</v>
      </c>
      <c r="H16" s="2">
        <f>SUM(H11:H15)</f>
        <v>1221263.2080876729</v>
      </c>
      <c r="I16" s="2">
        <f>SUM(I11:I15)</f>
        <v>1261709.5077590409</v>
      </c>
      <c r="J16" s="2">
        <f>SUM(J11:J15)</f>
        <v>1304432.4277533893</v>
      </c>
      <c r="K16" s="2">
        <f>SUM(K11:K15)</f>
        <v>1349566.2371348296</v>
      </c>
      <c r="L16" s="2">
        <f>SUM(L11:L15)</f>
        <v>1397253.4373189688</v>
      </c>
      <c r="M16" s="2">
        <f>SUM(M11:M15)</f>
        <v>1447645.2689956906</v>
      </c>
      <c r="N16" s="2">
        <f>SUM(N11:N15)</f>
        <v>1500902.2504813052</v>
      </c>
    </row>
    <row r="17" spans="1:14" x14ac:dyDescent="0.4">
      <c r="A17" t="s">
        <v>27</v>
      </c>
    </row>
    <row r="18" spans="1:14" x14ac:dyDescent="0.4">
      <c r="A18" t="s">
        <v>28</v>
      </c>
      <c r="B18" s="1">
        <v>3.3000000000000002E-2</v>
      </c>
      <c r="C18" s="2">
        <v>216000</v>
      </c>
      <c r="D18" s="2">
        <f>C18*(1+$B$18)</f>
        <v>223127.99999999997</v>
      </c>
      <c r="E18" s="2">
        <f>D18*(1+$B$18)</f>
        <v>230491.22399999996</v>
      </c>
      <c r="F18" s="2">
        <f>E18*(1+$B$18)</f>
        <v>238097.43439199994</v>
      </c>
      <c r="G18" s="2">
        <f>F18*(1+$B$18)</f>
        <v>245954.64972693592</v>
      </c>
      <c r="H18" s="2">
        <f>G18*(1+$B$18)</f>
        <v>254071.15316792479</v>
      </c>
      <c r="I18" s="2">
        <f>H18*(1+$B$18)</f>
        <v>262455.50122246629</v>
      </c>
      <c r="J18" s="2">
        <f>I18*(1+$B$18)</f>
        <v>271116.53276280768</v>
      </c>
      <c r="K18" s="2">
        <f>J18*(1+$B$18)</f>
        <v>280063.37834398029</v>
      </c>
      <c r="L18" s="2">
        <f>K18*(1+$B$18)</f>
        <v>289305.46982933162</v>
      </c>
      <c r="M18" s="2">
        <f>L18*(1+$B$18)</f>
        <v>298852.55033369956</v>
      </c>
      <c r="N18" s="2">
        <f>M18*(1+$B$18)</f>
        <v>308714.68449471163</v>
      </c>
    </row>
    <row r="19" spans="1:14" x14ac:dyDescent="0.4">
      <c r="A19" t="s">
        <v>29</v>
      </c>
      <c r="B19" s="1">
        <v>3.9E-2</v>
      </c>
      <c r="C19" s="2">
        <v>29000</v>
      </c>
      <c r="D19" s="2">
        <f>C19*(1+$B$19)</f>
        <v>30130.999999999996</v>
      </c>
      <c r="E19" s="2">
        <f>D19*(1+$B$19)</f>
        <v>31306.108999999993</v>
      </c>
      <c r="F19" s="2">
        <f>E19*(1+$B$19)</f>
        <v>32527.047250999989</v>
      </c>
      <c r="G19" s="2">
        <f>F19*(1+$B$19)</f>
        <v>33795.602093788984</v>
      </c>
      <c r="H19" s="2">
        <f>G19*(1+$B$19)</f>
        <v>35113.630575446754</v>
      </c>
      <c r="I19" s="2">
        <f>H19*(1+$B$19)</f>
        <v>36483.062167889177</v>
      </c>
      <c r="J19" s="2">
        <f>I19*(1+$B$19)</f>
        <v>37905.90159243685</v>
      </c>
      <c r="K19" s="2">
        <f>J19*(1+$B$19)</f>
        <v>39384.231754541885</v>
      </c>
      <c r="L19" s="2">
        <f>K19*(1+$B$19)</f>
        <v>40920.216792969019</v>
      </c>
      <c r="M19" s="2">
        <f>L19*(1+$B$19)</f>
        <v>42516.105247894804</v>
      </c>
      <c r="N19" s="2">
        <f>M19*(1+$B$19)</f>
        <v>44174.233352562696</v>
      </c>
    </row>
    <row r="20" spans="1:14" x14ac:dyDescent="0.4">
      <c r="A20" t="s">
        <v>30</v>
      </c>
      <c r="B20" s="1">
        <v>2.5000000000000001E-2</v>
      </c>
      <c r="C20" s="2">
        <v>374000</v>
      </c>
      <c r="D20" s="2">
        <f>C20*(1+$B$20)</f>
        <v>383349.99999999994</v>
      </c>
      <c r="E20" s="2">
        <f>D20*(1+$B$20)</f>
        <v>392933.74999999988</v>
      </c>
      <c r="F20" s="2">
        <f>E20*(1+$B$20)</f>
        <v>402757.09374999983</v>
      </c>
      <c r="G20" s="2">
        <f>F20*(1+$B$20)</f>
        <v>412826.02109374979</v>
      </c>
      <c r="H20" s="2">
        <f>G20*(1+$B$20)</f>
        <v>423146.67162109353</v>
      </c>
      <c r="I20" s="2">
        <f>H20*(1+$B$20)</f>
        <v>433725.33841162082</v>
      </c>
      <c r="J20" s="2">
        <f>I20*(1+$B$20)</f>
        <v>444568.47187191132</v>
      </c>
      <c r="K20" s="2">
        <f>J20*(1+$B$20)</f>
        <v>455682.68366870907</v>
      </c>
      <c r="L20" s="2">
        <f>K20*(1+$B$20)</f>
        <v>467074.75076042674</v>
      </c>
      <c r="M20" s="2">
        <f>L20*(1+$B$20)</f>
        <v>478751.61952943739</v>
      </c>
      <c r="N20" s="2">
        <f>M20*(1+$B$20)</f>
        <v>490720.41001767328</v>
      </c>
    </row>
    <row r="21" spans="1:14" x14ac:dyDescent="0.4">
      <c r="A21" t="s">
        <v>31</v>
      </c>
      <c r="B21" s="1">
        <v>6.0000000000000001E-3</v>
      </c>
      <c r="C21" s="2">
        <v>17000</v>
      </c>
      <c r="D21" s="2">
        <f>C21*(1+$B$21)</f>
        <v>17102</v>
      </c>
      <c r="E21" s="2">
        <f>D21*(1+$B$21)</f>
        <v>17204.612000000001</v>
      </c>
      <c r="F21" s="2">
        <f>E21*(1+$B$21)</f>
        <v>17307.839672000002</v>
      </c>
      <c r="G21" s="2">
        <f>F21*(1+$B$21)</f>
        <v>17411.686710032001</v>
      </c>
      <c r="H21" s="2">
        <f>G21*(1+$B$21)</f>
        <v>17516.156830292195</v>
      </c>
      <c r="I21" s="2">
        <f>H21*(1+$B$21)</f>
        <v>17621.253771273947</v>
      </c>
      <c r="J21" s="2">
        <f>I21*(1+$B$21)</f>
        <v>17726.98129390159</v>
      </c>
      <c r="K21" s="2">
        <f>J21*(1+$B$21)</f>
        <v>17833.343181665001</v>
      </c>
      <c r="L21" s="2">
        <f>K21*(1+$B$21)</f>
        <v>17940.343240754992</v>
      </c>
      <c r="M21" s="2">
        <f>L21*(1+$B$21)</f>
        <v>18047.985300199522</v>
      </c>
      <c r="N21" s="2">
        <f>M21*(1+$B$21)</f>
        <v>18156.27321200072</v>
      </c>
    </row>
    <row r="22" spans="1:14" x14ac:dyDescent="0.4">
      <c r="A22" t="s">
        <v>32</v>
      </c>
      <c r="B22" s="1">
        <v>-0.01</v>
      </c>
      <c r="C22" s="2">
        <v>290000</v>
      </c>
      <c r="D22" s="2">
        <f>C22*(1+$B$22)</f>
        <v>287100</v>
      </c>
      <c r="E22" s="2">
        <f>D22*(1+$B$22)</f>
        <v>284229</v>
      </c>
      <c r="F22" s="2">
        <f>E22*(1+$B$22)</f>
        <v>281386.71000000002</v>
      </c>
      <c r="G22" s="2">
        <f>F22*(1+$B$22)</f>
        <v>278572.84290000005</v>
      </c>
      <c r="H22" s="2">
        <f>G22*(1+$B$22)</f>
        <v>275787.11447100004</v>
      </c>
      <c r="I22" s="2">
        <f>H22*(1+$B$22)</f>
        <v>273029.24332629004</v>
      </c>
      <c r="J22" s="2">
        <f>I22*(1+$B$22)</f>
        <v>270298.95089302713</v>
      </c>
      <c r="K22" s="2">
        <f>J22*(1+$B$22)</f>
        <v>267595.96138409682</v>
      </c>
      <c r="L22" s="2">
        <f>K22*(1+$B$22)</f>
        <v>264920.00177025585</v>
      </c>
      <c r="M22" s="2">
        <f>L22*(1+$B$22)</f>
        <v>262270.80175255332</v>
      </c>
      <c r="N22" s="2">
        <f>M22*(1+$B$22)</f>
        <v>259648.0937350278</v>
      </c>
    </row>
    <row r="23" spans="1:14" x14ac:dyDescent="0.4">
      <c r="A23" t="s">
        <v>33</v>
      </c>
      <c r="C23" s="2">
        <f>SUM(C18:C22)</f>
        <v>926000</v>
      </c>
      <c r="D23" s="2">
        <f>SUM(D18:D22)</f>
        <v>940810.99999999988</v>
      </c>
      <c r="E23" s="2">
        <f>SUM(E18:E22)</f>
        <v>956164.69499999983</v>
      </c>
      <c r="F23" s="2">
        <f>SUM(F18:F22)</f>
        <v>972076.1250649998</v>
      </c>
      <c r="G23" s="2">
        <f>SUM(G18:G22)</f>
        <v>988560.80252450681</v>
      </c>
      <c r="H23" s="2">
        <f>SUM(H18:H22)</f>
        <v>1005634.7266657572</v>
      </c>
      <c r="I23" s="2">
        <f>SUM(I18:I22)</f>
        <v>1023314.3988995403</v>
      </c>
      <c r="J23" s="2">
        <f>SUM(J18:J22)</f>
        <v>1041616.8384140845</v>
      </c>
      <c r="K23" s="2">
        <f>SUM(K18:K22)</f>
        <v>1060559.5983329932</v>
      </c>
      <c r="L23" s="2">
        <f>SUM(L18:L22)</f>
        <v>1080160.7823937382</v>
      </c>
      <c r="M23" s="2">
        <f>SUM(M18:M22)</f>
        <v>1100439.0621637846</v>
      </c>
      <c r="N23" s="2">
        <f>SUM(N18:N22)</f>
        <v>1121413.694811976</v>
      </c>
    </row>
    <row r="25" spans="1:14" x14ac:dyDescent="0.4">
      <c r="A25" t="s">
        <v>34</v>
      </c>
      <c r="C25" s="2">
        <f>SUM(C9,C16,C23)</f>
        <v>2676000</v>
      </c>
      <c r="D25" s="2">
        <f>SUM(D9,D16,D23)</f>
        <v>2761308</v>
      </c>
      <c r="E25" s="2">
        <f>SUM(E9,E16,E23)</f>
        <v>2851132.9299999997</v>
      </c>
      <c r="F25" s="2">
        <f>SUM(F9,F16,F23)</f>
        <v>2945719.2998939995</v>
      </c>
      <c r="G25" s="2">
        <f>SUM(G9,G16,G23)</f>
        <v>3045325.6911215018</v>
      </c>
      <c r="H25" s="2">
        <f>SUM(H9,H16,H23)</f>
        <v>3150225.5817977572</v>
      </c>
      <c r="I25" s="2">
        <f>SUM(I9,I16,I23)</f>
        <v>3260708.2209811346</v>
      </c>
      <c r="J25" s="2">
        <f>SUM(J9,J16,J23)</f>
        <v>3377079.555030473</v>
      </c>
      <c r="K25" s="2">
        <f>SUM(K9,K16,K23)</f>
        <v>3499663.2091839924</v>
      </c>
      <c r="L25" s="2">
        <f>SUM(L9,L16,L23)</f>
        <v>3628801.527680866</v>
      </c>
      <c r="M25" s="2">
        <f>SUM(M9,M16,M23)</f>
        <v>3764856.675947669</v>
      </c>
      <c r="N25" s="2">
        <f>SUM(N9,N16,N23)</f>
        <v>3908211.808585234</v>
      </c>
    </row>
    <row r="26" spans="1:14" x14ac:dyDescent="0.4">
      <c r="A26" t="s">
        <v>35</v>
      </c>
      <c r="C26" s="1">
        <f>C25/$C$25</f>
        <v>1</v>
      </c>
      <c r="D26" s="1">
        <f>D25/$C$25</f>
        <v>1.0318789237668162</v>
      </c>
      <c r="E26" s="1">
        <f>E25/$C$25</f>
        <v>1.0654457884902839</v>
      </c>
      <c r="F26" s="1">
        <f>F25/$C$25</f>
        <v>1.1007919655807172</v>
      </c>
      <c r="G26" s="1">
        <f>G25/$C$25</f>
        <v>1.1380140848735059</v>
      </c>
      <c r="H26" s="1">
        <f>H25/$C$25</f>
        <v>1.1772143429737507</v>
      </c>
      <c r="I26" s="1">
        <f>I25/$C$25</f>
        <v>1.2185008299630549</v>
      </c>
      <c r="J26" s="1">
        <f>J25/$C$25</f>
        <v>1.2619878755719256</v>
      </c>
      <c r="K26" s="1">
        <f>K25/$C$25</f>
        <v>1.3077964159880391</v>
      </c>
      <c r="L26" s="1">
        <f>L25/$C$25</f>
        <v>1.3560543825414297</v>
      </c>
      <c r="M26" s="1">
        <f>M25/$C$25</f>
        <v>1.4068971135828359</v>
      </c>
      <c r="N26" s="1">
        <f>N25/$C$25</f>
        <v>1.4604677909511339</v>
      </c>
    </row>
    <row r="28" spans="1:14" x14ac:dyDescent="0.4">
      <c r="A28" t="s">
        <v>36</v>
      </c>
      <c r="C28" s="2">
        <f>SUM(C25:N25)</f>
        <v>38869032.500222623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2026-09-03T13:35:40Z</dcterms:created>
  <dcterms:modified xsi:type="dcterms:W3CDTF">2026-09-03T13:35:43Z</dcterms:modified>
</cp:coreProperties>
</file>