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yank\Desktop\後藤さんのclaude\ai-builders-2026\gridlint\bench\corpus\"/>
    </mc:Choice>
  </mc:AlternateContent>
  <xr:revisionPtr revIDLastSave="0" documentId="8_{424142CE-82D5-4426-BFAA-C1697DC151EC}" xr6:coauthVersionLast="47" xr6:coauthVersionMax="47" xr10:uidLastSave="{00000000-0000-0000-0000-000000000000}"/>
  <bookViews>
    <workbookView xWindow="-120" yWindow="-120" windowWidth="29040" windowHeight="15720" xr2:uid="{CD616639-77DB-45D0-B18C-ECACE07755C6}"/>
  </bookViews>
  <sheets>
    <sheet name="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0" i="1" l="1"/>
  <c r="N28" i="1"/>
  <c r="M28" i="1"/>
  <c r="L28" i="1"/>
  <c r="K28" i="1"/>
  <c r="J28" i="1"/>
  <c r="I28" i="1"/>
  <c r="H28" i="1"/>
  <c r="G28" i="1"/>
  <c r="F28" i="1"/>
  <c r="E28" i="1"/>
  <c r="D28" i="1"/>
  <c r="C28" i="1"/>
  <c r="N26" i="1"/>
  <c r="M26" i="1"/>
  <c r="L26" i="1"/>
  <c r="K26" i="1"/>
  <c r="J26" i="1"/>
  <c r="I26" i="1"/>
  <c r="H26" i="1"/>
  <c r="G26" i="1"/>
  <c r="F26" i="1"/>
  <c r="E26" i="1"/>
  <c r="D26" i="1"/>
  <c r="C26" i="1"/>
  <c r="N25" i="1"/>
  <c r="M25" i="1"/>
  <c r="L25" i="1"/>
  <c r="K25" i="1"/>
  <c r="J25" i="1"/>
  <c r="I25" i="1"/>
  <c r="H25" i="1"/>
  <c r="G25" i="1"/>
  <c r="F25" i="1"/>
  <c r="E25" i="1"/>
  <c r="D25" i="1"/>
  <c r="N24" i="1"/>
  <c r="M24" i="1"/>
  <c r="L24" i="1"/>
  <c r="K24" i="1"/>
  <c r="J24" i="1"/>
  <c r="I24" i="1"/>
  <c r="H24" i="1"/>
  <c r="G24" i="1"/>
  <c r="F24" i="1"/>
  <c r="E24" i="1"/>
  <c r="D24" i="1"/>
  <c r="N23" i="1"/>
  <c r="M23" i="1"/>
  <c r="L23" i="1"/>
  <c r="K23" i="1"/>
  <c r="J23" i="1"/>
  <c r="I23" i="1"/>
  <c r="H23" i="1"/>
  <c r="G23" i="1"/>
  <c r="F23" i="1"/>
  <c r="E23" i="1"/>
  <c r="D23" i="1"/>
  <c r="N22" i="1"/>
  <c r="M22" i="1"/>
  <c r="L22" i="1"/>
  <c r="K22" i="1"/>
  <c r="J22" i="1"/>
  <c r="I22" i="1"/>
  <c r="H22" i="1"/>
  <c r="G22" i="1"/>
  <c r="F22" i="1"/>
  <c r="E22" i="1"/>
  <c r="D22" i="1"/>
  <c r="N19" i="1"/>
  <c r="M19" i="1"/>
  <c r="L19" i="1"/>
  <c r="K19" i="1"/>
  <c r="J19" i="1"/>
  <c r="I19" i="1"/>
  <c r="H19" i="1"/>
  <c r="G19" i="1"/>
  <c r="F19" i="1"/>
  <c r="E19" i="1"/>
  <c r="D19" i="1"/>
  <c r="C19" i="1"/>
  <c r="N18" i="1"/>
  <c r="M18" i="1"/>
  <c r="L18" i="1"/>
  <c r="K18" i="1"/>
  <c r="J18" i="1"/>
  <c r="I18" i="1"/>
  <c r="H18" i="1"/>
  <c r="G18" i="1"/>
  <c r="F18" i="1"/>
  <c r="E18" i="1"/>
  <c r="D18" i="1"/>
  <c r="N17" i="1"/>
  <c r="M17" i="1"/>
  <c r="L17" i="1"/>
  <c r="K17" i="1"/>
  <c r="J17" i="1"/>
  <c r="I17" i="1"/>
  <c r="H17" i="1"/>
  <c r="G17" i="1"/>
  <c r="F17" i="1"/>
  <c r="E17" i="1"/>
  <c r="D17" i="1"/>
  <c r="N16" i="1"/>
  <c r="M16" i="1"/>
  <c r="L16" i="1"/>
  <c r="K16" i="1"/>
  <c r="J16" i="1"/>
  <c r="I16" i="1"/>
  <c r="H16" i="1"/>
  <c r="G16" i="1"/>
  <c r="F16" i="1"/>
  <c r="E16" i="1"/>
  <c r="D16" i="1"/>
  <c r="N15" i="1"/>
  <c r="M15" i="1"/>
  <c r="L15" i="1"/>
  <c r="K15" i="1"/>
  <c r="J15" i="1"/>
  <c r="I15" i="1"/>
  <c r="H15" i="1"/>
  <c r="G15" i="1"/>
  <c r="F15" i="1"/>
  <c r="E15" i="1"/>
  <c r="D15" i="1"/>
  <c r="N14" i="1"/>
  <c r="M14" i="1"/>
  <c r="L14" i="1"/>
  <c r="K14" i="1"/>
  <c r="J14" i="1"/>
  <c r="I14" i="1"/>
  <c r="H14" i="1"/>
  <c r="G14" i="1"/>
  <c r="F14" i="1"/>
  <c r="E14" i="1"/>
  <c r="D14" i="1"/>
  <c r="N11" i="1"/>
  <c r="M11" i="1"/>
  <c r="L11" i="1"/>
  <c r="K11" i="1"/>
  <c r="J11" i="1"/>
  <c r="I11" i="1"/>
  <c r="H11" i="1"/>
  <c r="G11" i="1"/>
  <c r="F11" i="1"/>
  <c r="E11" i="1"/>
  <c r="D11" i="1"/>
  <c r="C11" i="1"/>
  <c r="N10" i="1"/>
  <c r="M10" i="1"/>
  <c r="L10" i="1"/>
  <c r="K10" i="1"/>
  <c r="J10" i="1"/>
  <c r="I10" i="1"/>
  <c r="H10" i="1"/>
  <c r="G10" i="1"/>
  <c r="F10" i="1"/>
  <c r="E10" i="1"/>
  <c r="D10" i="1"/>
  <c r="N9" i="1"/>
  <c r="M9" i="1"/>
  <c r="L9" i="1"/>
  <c r="K9" i="1"/>
  <c r="J9" i="1"/>
  <c r="I9" i="1"/>
  <c r="H9" i="1"/>
  <c r="G9" i="1"/>
  <c r="F9" i="1"/>
  <c r="E9" i="1"/>
  <c r="D9" i="1"/>
  <c r="N8" i="1"/>
  <c r="M8" i="1"/>
  <c r="L8" i="1"/>
  <c r="K8" i="1"/>
  <c r="J8" i="1"/>
  <c r="I8" i="1"/>
  <c r="H8" i="1"/>
  <c r="G8" i="1"/>
  <c r="F8" i="1"/>
  <c r="E8" i="1"/>
  <c r="D8" i="1"/>
  <c r="N7" i="1"/>
  <c r="M7" i="1"/>
  <c r="L7" i="1"/>
  <c r="K7" i="1"/>
  <c r="J7" i="1"/>
  <c r="I7" i="1"/>
  <c r="H7" i="1"/>
  <c r="G7" i="1"/>
  <c r="F7" i="1"/>
  <c r="E7" i="1"/>
  <c r="D7" i="1"/>
  <c r="N6" i="1"/>
  <c r="M6" i="1"/>
  <c r="L6" i="1"/>
  <c r="K6" i="1"/>
  <c r="J6" i="1"/>
  <c r="I6" i="1"/>
  <c r="H6" i="1"/>
  <c r="G6" i="1"/>
  <c r="F6" i="1"/>
  <c r="E6" i="1"/>
  <c r="D6" i="1"/>
</calcChain>
</file>

<file path=xl/sharedStrings.xml><?xml version="1.0" encoding="utf-8"?>
<sst xmlns="http://schemas.openxmlformats.org/spreadsheetml/2006/main" count="36" uniqueCount="36">
  <si>
    <t>Plan</t>
  </si>
  <si>
    <t>Growth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</si>
  <si>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</si>
  <si>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</si>
  <si>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</si>
  <si>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</si>
  <si>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</si>
  <si>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</si>
  <si>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</si>
  <si>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</si>
  <si>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</si>
  <si>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</si>
  <si>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</si>
  <si>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</si>
  <si>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REVENUE</t>
  </si>
  <si>
    <t>Recruiting</t>
  </si>
  <si>
    <t>Sponsorships</t>
  </si>
  <si>
    <t>Cloud hosting</t>
  </si>
  <si>
    <t>Subscriptions</t>
  </si>
  <si>
    <t>Licences</t>
  </si>
  <si>
    <t>Total revenue</t>
  </si>
  <si>
    <t>COST OF SALES</t>
  </si>
  <si>
    <t>Contractors</t>
  </si>
  <si>
    <t>Data vendors</t>
  </si>
  <si>
    <t>Salaries</t>
  </si>
  <si>
    <t>Services</t>
  </si>
  <si>
    <t>Software tools</t>
  </si>
  <si>
    <t>Total cost of sales</t>
  </si>
  <si>
    <t>OPERATING COSTS</t>
  </si>
  <si>
    <t>Insurance</t>
  </si>
  <si>
    <t>Office rent</t>
  </si>
  <si>
    <t>Agency fees</t>
  </si>
  <si>
    <t>Travel</t>
  </si>
  <si>
    <t>Total operating costs</t>
  </si>
  <si>
    <t>Grand total</t>
  </si>
  <si>
    <t>Full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</si>
</sst>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0.0%"/>
    <numFmt numFmtId="180" formatCode="\$#,##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57523-F605-454C-861F-695469BE34B9}">
  <dimension ref="A1:N30"/>
  <sheetViews>
    <sheetView tabSelected="1" workbookViewId="0"/>
  </sheetViews>
  <sheetFormatPr defaultRowHeight="18.75" x14ac:dyDescent="0.4"/>
  <cols>
    <col min="1" max="1" width="28.625" customWidth="1"/>
    <col min="3" max="3" width="11.75" bestFit="1" customWidth="1"/>
    <col min="4" max="4" width="10.625" bestFit="1" customWidth="1"/>
    <col min="5" max="5" width="10.75" bestFit="1" customWidth="1"/>
    <col min="6" max="14" width="10.875" bestFit="1" customWidth="1"/>
  </cols>
  <sheetData>
    <row r="1" spans="1:14" x14ac:dyDescent="0.4">
      <c r="A1" t="s">
        <v>0</v>
      </c>
    </row>
    <row r="3" spans="1:14" x14ac:dyDescent="0.4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</row>
    <row r="5" spans="1:14" x14ac:dyDescent="0.4">
      <c r="A5" t="s">
        <v>14</v>
      </c>
    </row>
    <row r="6" spans="1:14" x14ac:dyDescent="0.4">
      <c r="A6" t="s">
        <v>15</v>
      </c>
      <c r="B6" s="1">
        <v>6.4000000000000001E-2</v>
      </c>
      <c r="C6" s="2">
        <v>130000</v>
      </c>
      <c r="D6" s="2">
        <f>C6*(1+$B$6)</f>
        <v>138320</v>
      </c>
      <c r="E6" s="2">
        <f>D6*(1+$B$6)</f>
        <v>147172.48000000001</v>
      </c>
      <c r="F6" s="2">
        <f>E6*(1+$B$6)</f>
        <v>156591.51872000002</v>
      </c>
      <c r="G6" s="2">
        <f>F6*(1+$B$6)</f>
        <v>166613.37591808004</v>
      </c>
      <c r="H6" s="2">
        <f>G6*(1+$B$6)</f>
        <v>177276.63197683718</v>
      </c>
      <c r="I6" s="2">
        <f>H6*(1+$B$6)</f>
        <v>188622.33642335478</v>
      </c>
      <c r="J6" s="2">
        <f>I6*(1+$B$6)</f>
        <v>200694.16595444951</v>
      </c>
      <c r="K6" s="2">
        <f>J6*(1+$B$6)</f>
        <v>213538.59257553428</v>
      </c>
      <c r="L6" s="2">
        <f>K6*(1+$B$6)</f>
        <v>227205.06250036848</v>
      </c>
      <c r="M6" s="2">
        <f>L6*(1+$B$6)</f>
        <v>241746.18650039207</v>
      </c>
      <c r="N6" s="2">
        <f>M6*(1+$B$6)</f>
        <v>257217.94243641719</v>
      </c>
    </row>
    <row r="7" spans="1:14" x14ac:dyDescent="0.4">
      <c r="A7" t="s">
        <v>16</v>
      </c>
      <c r="B7" s="1">
        <v>7.0999999999999994E-2</v>
      </c>
      <c r="C7" s="2">
        <v>205000</v>
      </c>
      <c r="D7" s="2">
        <f>C7*(1+$B$7)</f>
        <v>219555</v>
      </c>
      <c r="E7" s="2">
        <f>D7*(1+$B$7)</f>
        <v>235143.405</v>
      </c>
      <c r="F7" s="2">
        <f>E7*(1+$B$7)</f>
        <v>251838.586755</v>
      </c>
      <c r="G7" s="2">
        <f>F7*(1+$B$7)</f>
        <v>269719.12641460501</v>
      </c>
      <c r="H7" s="2">
        <f>G7*(1+$B$7)</f>
        <v>288869.18439004198</v>
      </c>
      <c r="I7" s="2">
        <f>H7*(1+$B$7)</f>
        <v>309378.89648173493</v>
      </c>
      <c r="J7" s="2">
        <f>I7*(1+$B$7)</f>
        <v>331344.79813193809</v>
      </c>
      <c r="K7" s="2">
        <f>J7*(1+$B$7)</f>
        <v>354870.27879930567</v>
      </c>
      <c r="L7" s="2">
        <f>K7*(1+$B$7)</f>
        <v>380066.06859405636</v>
      </c>
      <c r="M7" s="2">
        <f>L7*(1+$B$7)</f>
        <v>407050.75946423435</v>
      </c>
      <c r="N7" s="2">
        <f>M7*(1+$B$7)</f>
        <v>435951.36338619498</v>
      </c>
    </row>
    <row r="8" spans="1:14" x14ac:dyDescent="0.4">
      <c r="A8" t="s">
        <v>17</v>
      </c>
      <c r="B8" s="1">
        <v>1.4E-2</v>
      </c>
      <c r="C8" s="2">
        <v>33000</v>
      </c>
      <c r="D8" s="2">
        <f>C8*(1+$B$8)</f>
        <v>33462</v>
      </c>
      <c r="E8" s="2">
        <f>D8*(1+$B$8)</f>
        <v>33930.468000000001</v>
      </c>
      <c r="F8" s="2">
        <f>E8*(1+$B$8)</f>
        <v>34405.494552000004</v>
      </c>
      <c r="G8" s="2">
        <f>F8*(1+$B$8)</f>
        <v>34887.171475728006</v>
      </c>
      <c r="H8" s="2">
        <f>G8*(1+$B$8)</f>
        <v>35375.5918763882</v>
      </c>
      <c r="I8" s="2">
        <f>H8*(1+$B$8)</f>
        <v>35870.850162657633</v>
      </c>
      <c r="J8" s="2">
        <f>I8*(1+$B$8)</f>
        <v>36373.042064934838</v>
      </c>
      <c r="K8" s="2">
        <f>J8*(1+$B$8)</f>
        <v>36882.264653843929</v>
      </c>
      <c r="L8" s="2">
        <f>K8*(1+$B$8)</f>
        <v>37398.616358997744</v>
      </c>
      <c r="M8" s="2">
        <f>L8*(1+$B$8)</f>
        <v>37922.196988023716</v>
      </c>
      <c r="N8" s="2">
        <f>M8*(1+$B$8)</f>
        <v>38453.107745856047</v>
      </c>
    </row>
    <row r="9" spans="1:14" x14ac:dyDescent="0.4">
      <c r="A9" t="s">
        <v>18</v>
      </c>
      <c r="B9" s="1">
        <v>4.8000000000000001E-2</v>
      </c>
      <c r="C9" s="2">
        <v>46000</v>
      </c>
      <c r="D9" s="2">
        <f>C9*(1+$B$9)</f>
        <v>48208</v>
      </c>
      <c r="E9" s="2">
        <f>D9*(1+$B$9)</f>
        <v>50521.984000000004</v>
      </c>
      <c r="F9" s="2">
        <f>E9*(1+$B$9)</f>
        <v>52947.039232000003</v>
      </c>
      <c r="G9" s="2">
        <f>F9*(1+$B$9)</f>
        <v>55488.497115136008</v>
      </c>
      <c r="H9" s="2">
        <f>G9*(1+$B$9)</f>
        <v>58151.94497666254</v>
      </c>
      <c r="I9" s="2">
        <f>H9*(1+$B$9)</f>
        <v>60943.238335542344</v>
      </c>
      <c r="J9" s="2">
        <f>I9*(1+$B$9)</f>
        <v>63868.513775648382</v>
      </c>
      <c r="K9" s="2">
        <f>J9*(1+$B$9)</f>
        <v>66934.20243687951</v>
      </c>
      <c r="L9" s="2">
        <f>K9*(1+$B$9)</f>
        <v>70147.044153849725</v>
      </c>
      <c r="M9" s="2">
        <f>L9*(1+$B$9)</f>
        <v>73514.102273234515</v>
      </c>
      <c r="N9" s="2">
        <f>M9*(1+$B$9)</f>
        <v>77042.779182349768</v>
      </c>
    </row>
    <row r="10" spans="1:14" x14ac:dyDescent="0.4">
      <c r="A10" t="s">
        <v>19</v>
      </c>
      <c r="B10" s="1">
        <v>1.7000000000000001E-2</v>
      </c>
      <c r="C10" s="2">
        <v>40000</v>
      </c>
      <c r="D10" s="2">
        <f>C10*(1+$B$10)</f>
        <v>40679.999999999993</v>
      </c>
      <c r="E10" s="2">
        <f>D10*(1+$B$10)</f>
        <v>41371.55999999999</v>
      </c>
      <c r="F10" s="2">
        <f>E10*(1+$B$10)</f>
        <v>42074.876519999983</v>
      </c>
      <c r="G10" s="2">
        <f>F10*(1+$B$10)</f>
        <v>42790.149420839982</v>
      </c>
      <c r="H10" s="2">
        <f>G10*(1+$B$10)</f>
        <v>43517.581960994255</v>
      </c>
      <c r="I10" s="2">
        <f>H10*(1+$B$10)</f>
        <v>44257.380854331153</v>
      </c>
      <c r="J10" s="2">
        <f>I10*(1+$B$10)</f>
        <v>45009.756328854775</v>
      </c>
      <c r="K10" s="2">
        <f>J10*(1+$B$10)</f>
        <v>45774.922186445299</v>
      </c>
      <c r="L10" s="2">
        <f>K10*(1+$B$10)</f>
        <v>46553.095863614864</v>
      </c>
      <c r="M10" s="2">
        <f>L10*(1+$B$10)</f>
        <v>47344.498493296313</v>
      </c>
      <c r="N10" s="2">
        <f>M10*(1+$B$10)</f>
        <v>48149.354967682346</v>
      </c>
    </row>
    <row r="11" spans="1:14" x14ac:dyDescent="0.4">
      <c r="A11" t="s">
        <v>20</v>
      </c>
      <c r="C11" s="2">
        <f>SUM(C6:C10)</f>
        <v>454000</v>
      </c>
      <c r="D11" s="2">
        <f>SUM(D6:D10)</f>
        <v>480225</v>
      </c>
      <c r="E11" s="2">
        <f>SUM(E6:E10)</f>
        <v>508139.897</v>
      </c>
      <c r="F11" s="2">
        <f>SUM(F6:F10)</f>
        <v>537857.51577900001</v>
      </c>
      <c r="G11" s="2">
        <f>SUM(G6:G10)</f>
        <v>569498.32034438895</v>
      </c>
      <c r="H11" s="2">
        <f>SUM(H6:H10)</f>
        <v>603190.93518092413</v>
      </c>
      <c r="I11" s="2">
        <f>SUM(I6:I10)</f>
        <v>639072.70225762099</v>
      </c>
      <c r="J11" s="2">
        <f>SUM(J6:J10)</f>
        <v>677290.27625582565</v>
      </c>
      <c r="K11" s="2">
        <f>SUM(K6:K10)</f>
        <v>718000.2606520087</v>
      </c>
      <c r="L11" s="2">
        <f>SUM(L6:L10)</f>
        <v>761369.88747088716</v>
      </c>
      <c r="M11" s="2">
        <f>SUM(M6:M10)</f>
        <v>807577.74371918093</v>
      </c>
      <c r="N11" s="2">
        <f>SUM(N6:N10)</f>
        <v>856814.54771850037</v>
      </c>
    </row>
    <row r="13" spans="1:14" x14ac:dyDescent="0.4">
      <c r="A13" t="s">
        <v>21</v>
      </c>
    </row>
    <row r="14" spans="1:14" x14ac:dyDescent="0.4">
      <c r="A14" t="s">
        <v>22</v>
      </c>
      <c r="B14" s="1">
        <v>4.4999999999999998E-2</v>
      </c>
      <c r="C14" s="2">
        <v>304000</v>
      </c>
      <c r="D14" s="2">
        <f>C14*(1+$B$14)</f>
        <v>317680</v>
      </c>
      <c r="E14" s="2">
        <f>D14*(1+$B$14)</f>
        <v>331975.59999999998</v>
      </c>
      <c r="F14" s="2">
        <f>E14*(1+$B$14)</f>
        <v>346914.50199999998</v>
      </c>
      <c r="G14" s="2">
        <f>F14*(1+$B$14)</f>
        <v>362525.65458999993</v>
      </c>
      <c r="H14" s="2">
        <f>G14*(1+$B$14)</f>
        <v>378839.3090465499</v>
      </c>
      <c r="I14" s="2">
        <f>H14*(1+$B$14)</f>
        <v>395887.07795364462</v>
      </c>
      <c r="J14" s="2">
        <f>I14*(1+$B$14)</f>
        <v>413701.99646155862</v>
      </c>
      <c r="K14" s="2">
        <f>J14*(1+$B$14)</f>
        <v>432318.58630232874</v>
      </c>
      <c r="L14" s="2">
        <f>K14*(1+$B$14)</f>
        <v>451772.92268593347</v>
      </c>
      <c r="M14" s="2">
        <f>L14*(1+$B$14)</f>
        <v>472102.70420680044</v>
      </c>
      <c r="N14" s="2">
        <f>M14*(1+$B$14)</f>
        <v>493347.32589610643</v>
      </c>
    </row>
    <row r="15" spans="1:14" x14ac:dyDescent="0.4">
      <c r="A15" t="s">
        <v>23</v>
      </c>
      <c r="B15" s="1">
        <v>5.3999999999999999E-2</v>
      </c>
      <c r="C15" s="2">
        <v>321000</v>
      </c>
      <c r="D15" s="2">
        <f>C15*(1+$B$15)</f>
        <v>338334</v>
      </c>
      <c r="E15" s="2">
        <f>D15*(1+$B$15)</f>
        <v>356604.03600000002</v>
      </c>
      <c r="F15" s="2">
        <f>E15*(1+$B$15)</f>
        <v>375860.65394400002</v>
      </c>
      <c r="G15" s="2">
        <f>F15*(1+$B$15)</f>
        <v>396157.12925697601</v>
      </c>
      <c r="H15" s="2">
        <f>G15*(1+$B$15)</f>
        <v>417549.61423685274</v>
      </c>
      <c r="I15" s="2">
        <f>H15*(1+$B$15)</f>
        <v>440097.29340564279</v>
      </c>
      <c r="J15" s="2">
        <f>I15*(1+$B$15)</f>
        <v>463862.5472495475</v>
      </c>
      <c r="K15" s="2">
        <f>J15*(1+$B$15)</f>
        <v>488911.12480102311</v>
      </c>
      <c r="L15" s="2">
        <f>K15*(1+$B$15)</f>
        <v>515312.3255402784</v>
      </c>
      <c r="M15" s="2">
        <f>L15*(1+$B$15)</f>
        <v>543139.1911194534</v>
      </c>
      <c r="N15" s="2">
        <f>M15*(1+$B$15)</f>
        <v>572468.70743990387</v>
      </c>
    </row>
    <row r="16" spans="1:14" x14ac:dyDescent="0.4">
      <c r="A16" t="s">
        <v>24</v>
      </c>
      <c r="B16" s="1">
        <v>2.8000000000000001E-2</v>
      </c>
      <c r="C16" s="2">
        <v>67000</v>
      </c>
      <c r="D16" s="2">
        <f>C16*(1+$B$16)</f>
        <v>68876</v>
      </c>
      <c r="E16" s="2">
        <f>D16*(1+$B$16)</f>
        <v>70804.528000000006</v>
      </c>
      <c r="F16" s="2">
        <f>E16*(1+$B$16)</f>
        <v>72787.054784000007</v>
      </c>
      <c r="G16" s="2">
        <f>F16*(1+$B$16)</f>
        <v>74825.092317952003</v>
      </c>
      <c r="H16" s="2">
        <f>G16*(1+$B$16)</f>
        <v>76920.194902854666</v>
      </c>
      <c r="I16" s="2">
        <f>H16*(1+$B$16)</f>
        <v>79073.960360134603</v>
      </c>
      <c r="J16" s="2">
        <f>I16*(1+$B$16)</f>
        <v>81288.031250218381</v>
      </c>
      <c r="K16" s="2">
        <f>J16*(1+$B$16)</f>
        <v>83564.096125224503</v>
      </c>
      <c r="L16" s="2">
        <f>K16*(1+$B$16)</f>
        <v>85903.890816730796</v>
      </c>
      <c r="M16" s="2">
        <f>L16*(1+$B$16)</f>
        <v>88309.199759599258</v>
      </c>
      <c r="N16" s="2">
        <f>M16*(1+$B$16)</f>
        <v>90781.857352868043</v>
      </c>
    </row>
    <row r="17" spans="1:14" x14ac:dyDescent="0.4">
      <c r="A17" t="s">
        <v>25</v>
      </c>
      <c r="B17" s="1">
        <v>7.0000000000000001E-3</v>
      </c>
      <c r="C17" s="2">
        <v>191000</v>
      </c>
      <c r="D17" s="2">
        <f>C17*(1+$B$17)</f>
        <v>192336.99999999997</v>
      </c>
      <c r="E17" s="2">
        <f>D17*(1+$B$17)</f>
        <v>193683.35899999994</v>
      </c>
      <c r="F17" s="2">
        <f>E17*(1+$B$17)</f>
        <v>195039.14251299991</v>
      </c>
      <c r="G17" s="2">
        <f>F17*(1+$B$17)</f>
        <v>196404.41651059088</v>
      </c>
      <c r="H17" s="2">
        <f>G17*(1+$B$17)</f>
        <v>197779.24742616501</v>
      </c>
      <c r="I17" s="2">
        <f>H17*(1+$B$17)</f>
        <v>199163.70215814814</v>
      </c>
      <c r="J17" s="2">
        <f>I17*(1+$B$17)</f>
        <v>200557.84807325515</v>
      </c>
      <c r="K17" s="2">
        <f>J17*(1+$B$17)</f>
        <v>201961.75300976791</v>
      </c>
      <c r="L17" s="2">
        <f>K17*(1+$B$17)</f>
        <v>203375.48528083626</v>
      </c>
      <c r="M17" s="2">
        <f>L17*(1+$B$17)</f>
        <v>204799.11367780209</v>
      </c>
      <c r="N17" s="2">
        <f>M17*(1+$B$17)</f>
        <v>206232.70747354667</v>
      </c>
    </row>
    <row r="18" spans="1:14" x14ac:dyDescent="0.4">
      <c r="A18" t="s">
        <v>26</v>
      </c>
      <c r="B18" s="1">
        <v>5.6000000000000001E-2</v>
      </c>
      <c r="C18" s="2">
        <v>35000</v>
      </c>
      <c r="D18" s="2">
        <f>C18*(1+$B$18)</f>
        <v>36960</v>
      </c>
      <c r="E18" s="2">
        <f>D18*(1+$B$18)</f>
        <v>39029.760000000002</v>
      </c>
      <c r="F18" s="2">
        <f>E18*(1+$B$18)</f>
        <v>41215.426560000007</v>
      </c>
      <c r="G18" s="2">
        <f>F18*(1+$B$18)</f>
        <v>43523.490447360011</v>
      </c>
      <c r="H18" s="2">
        <f>G18*(1+$B$18)</f>
        <v>45960.805912412172</v>
      </c>
      <c r="I18" s="2">
        <f>H18*(1+$B$18)</f>
        <v>48534.611043507255</v>
      </c>
      <c r="J18" s="2">
        <f>I18*(1+$B$18)</f>
        <v>51252.549261943663</v>
      </c>
      <c r="K18" s="2">
        <f>J18*(1+$B$18)</f>
        <v>54122.692020612507</v>
      </c>
      <c r="L18" s="2">
        <f>K18*(1+$B$18)</f>
        <v>57153.562773766811</v>
      </c>
      <c r="M18" s="2">
        <f>L18*(1+$B$18)</f>
        <v>60354.162289097752</v>
      </c>
      <c r="N18" s="2">
        <f>M18*(1+$B$18)</f>
        <v>63733.995377287232</v>
      </c>
    </row>
    <row r="19" spans="1:14" x14ac:dyDescent="0.4">
      <c r="A19" t="s">
        <v>27</v>
      </c>
      <c r="C19" s="2">
        <f>SUM(C14:C18)</f>
        <v>918000</v>
      </c>
      <c r="D19" s="2">
        <f>SUM(D14:D18)</f>
        <v>954187</v>
      </c>
      <c r="E19" s="2">
        <f>SUM(E14:E18)</f>
        <v>992097.28299999994</v>
      </c>
      <c r="F19" s="2">
        <f>SUM(F14:F18)</f>
        <v>1031816.779801</v>
      </c>
      <c r="G19" s="2">
        <f>SUM(G14:G18)</f>
        <v>1073435.783122879</v>
      </c>
      <c r="H19" s="2">
        <f>SUM(H14:H18)</f>
        <v>1117049.1715248344</v>
      </c>
      <c r="I19" s="2">
        <f>SUM(I14:I18)</f>
        <v>1162756.6449210774</v>
      </c>
      <c r="J19" s="2">
        <f>SUM(J14:J18)</f>
        <v>1210662.9722965232</v>
      </c>
      <c r="K19" s="2">
        <f>SUM(K14:K18)</f>
        <v>1260878.2522589567</v>
      </c>
      <c r="L19" s="2">
        <f>SUM(L14:L18)</f>
        <v>1313518.1870975457</v>
      </c>
      <c r="M19" s="2">
        <f>SUM(M14:M18)</f>
        <v>1368704.3710527527</v>
      </c>
      <c r="N19" s="2">
        <f>SUM(N14:N18)</f>
        <v>1426564.5935397123</v>
      </c>
    </row>
    <row r="21" spans="1:14" x14ac:dyDescent="0.4">
      <c r="A21" t="s">
        <v>28</v>
      </c>
    </row>
    <row r="22" spans="1:14" x14ac:dyDescent="0.4">
      <c r="A22" t="s">
        <v>29</v>
      </c>
      <c r="B22" s="1">
        <v>6.5000000000000002E-2</v>
      </c>
      <c r="C22" s="2">
        <v>159000</v>
      </c>
      <c r="D22" s="2">
        <f>C22*(1+$B$22)</f>
        <v>169335</v>
      </c>
      <c r="E22" s="2">
        <f>D22*(1+$B$22)</f>
        <v>180341.77499999999</v>
      </c>
      <c r="F22" s="2">
        <f>E22*(1+$B$22)</f>
        <v>192063.99037499999</v>
      </c>
      <c r="G22" s="2">
        <f>F22*(1+$B$22)</f>
        <v>204548.14974937498</v>
      </c>
      <c r="H22" s="2">
        <f>G22*(1+$B$22)</f>
        <v>217843.77948308433</v>
      </c>
      <c r="I22" s="2">
        <f>H22*(1+$B$22)</f>
        <v>232003.62514948481</v>
      </c>
      <c r="J22" s="2">
        <f>I22*(1+$B$22)</f>
        <v>247083.8607842013</v>
      </c>
      <c r="K22" s="2">
        <f>J22*(1+$B$22)</f>
        <v>263144.31173517439</v>
      </c>
      <c r="L22" s="2">
        <f>K22*(1+$B$22)</f>
        <v>280248.69199796073</v>
      </c>
      <c r="M22" s="2">
        <f>L22*(1+$B$22)</f>
        <v>298464.85697782814</v>
      </c>
      <c r="N22" s="2">
        <f>M22*(1+$B$22)</f>
        <v>317865.07268138696</v>
      </c>
    </row>
    <row r="23" spans="1:14" x14ac:dyDescent="0.4">
      <c r="A23" t="s">
        <v>30</v>
      </c>
      <c r="B23" s="1">
        <v>-7.0000000000000001E-3</v>
      </c>
      <c r="C23" s="2">
        <v>110000</v>
      </c>
      <c r="D23" s="2">
        <f>C23*(1+$B$23)</f>
        <v>109230</v>
      </c>
      <c r="E23" s="2">
        <f>D23*(1+$B$23)</f>
        <v>108465.39</v>
      </c>
      <c r="F23" s="2">
        <f>E23*(1+$B$23)</f>
        <v>107706.13227</v>
      </c>
      <c r="G23" s="2">
        <f>F23*(1+$B$23)</f>
        <v>106952.18934411</v>
      </c>
      <c r="H23" s="2">
        <f>G23*(1+$B$23)</f>
        <v>106203.52401870122</v>
      </c>
      <c r="I23" s="2">
        <f>H23*(1+$B$23)</f>
        <v>105460.09935057031</v>
      </c>
      <c r="J23" s="2">
        <f>I23*(1+$B$23)</f>
        <v>104721.87865511632</v>
      </c>
      <c r="K23" s="2">
        <f>J23*(1+$B$23)</f>
        <v>103988.82550453051</v>
      </c>
      <c r="L23" s="2">
        <f>K23*(1+$B$23)</f>
        <v>103260.9037259988</v>
      </c>
      <c r="M23" s="2">
        <f>L23*(1+$B$23)</f>
        <v>102538.0773999168</v>
      </c>
      <c r="N23" s="2">
        <f>M23*(1+$B$23)</f>
        <v>101820.31085811739</v>
      </c>
    </row>
    <row r="24" spans="1:14" x14ac:dyDescent="0.4">
      <c r="A24" t="s">
        <v>31</v>
      </c>
      <c r="B24" s="1">
        <v>2.1000000000000001E-2</v>
      </c>
      <c r="C24" s="2">
        <v>330000</v>
      </c>
      <c r="D24" s="2">
        <f>C24*(1+$B$24)</f>
        <v>336929.99999999994</v>
      </c>
      <c r="E24" s="2">
        <f>D24*(1+$B$24)</f>
        <v>344005.52999999991</v>
      </c>
      <c r="F24" s="2">
        <f>E24*(1+$B$24)</f>
        <v>351229.64612999989</v>
      </c>
      <c r="G24" s="2">
        <f>F24*(1+$B$24)</f>
        <v>358605.46869872988</v>
      </c>
      <c r="H24" s="2">
        <f>G24*(1+$B$24)</f>
        <v>366136.18354140315</v>
      </c>
      <c r="I24" s="2">
        <f>H24*(1+$B$24)</f>
        <v>373825.04339577258</v>
      </c>
      <c r="J24" s="2">
        <f>I24*(1+$B$24)</f>
        <v>381675.36930708378</v>
      </c>
      <c r="K24" s="2">
        <f>J24*(1+$B$24)</f>
        <v>389690.55206253252</v>
      </c>
      <c r="L24" s="2">
        <f>K24*(1+$B$24)</f>
        <v>397874.05365584564</v>
      </c>
      <c r="M24" s="2">
        <f>L24*(1+$B$24)</f>
        <v>406229.40878261835</v>
      </c>
      <c r="N24" s="2">
        <f>M24*(1+$B$24)</f>
        <v>414760.22636705328</v>
      </c>
    </row>
    <row r="25" spans="1:14" x14ac:dyDescent="0.4">
      <c r="A25" t="s">
        <v>32</v>
      </c>
      <c r="B25" s="1">
        <v>8.8999999999999996E-2</v>
      </c>
      <c r="C25" s="2">
        <v>326000</v>
      </c>
      <c r="D25" s="2">
        <f>C25*(1+$B$25)</f>
        <v>355014</v>
      </c>
      <c r="E25" s="2">
        <f>D25*(1+$B$25)</f>
        <v>386610.24599999998</v>
      </c>
      <c r="F25" s="2">
        <f>E25*(1+$B$25)</f>
        <v>421018.55789399997</v>
      </c>
      <c r="G25" s="2">
        <f>F25*(1+$B$25)</f>
        <v>458489.20954656595</v>
      </c>
      <c r="H25" s="2">
        <f>G25*(1+$B$25)</f>
        <v>499294.74919621029</v>
      </c>
      <c r="I25" s="2">
        <f>H25*(1+$B$25)</f>
        <v>543731.98187467305</v>
      </c>
      <c r="J25" s="2">
        <f>I25*(1+$B$25)</f>
        <v>592124.1282615189</v>
      </c>
      <c r="K25" s="2">
        <f>J25*(1+$B$25)</f>
        <v>644823.17567679402</v>
      </c>
      <c r="L25" s="2">
        <f>K25*(1+$B$25)</f>
        <v>702212.43831202865</v>
      </c>
      <c r="M25" s="2">
        <f>L25*(1+$B$25)</f>
        <v>764709.34532179916</v>
      </c>
      <c r="N25" s="2">
        <f>M25*(1+$B$25)</f>
        <v>832768.47705543926</v>
      </c>
    </row>
    <row r="26" spans="1:14" x14ac:dyDescent="0.4">
      <c r="A26" t="s">
        <v>33</v>
      </c>
      <c r="C26" s="2">
        <f>SUM(C22:C25)</f>
        <v>925000</v>
      </c>
      <c r="D26" s="2">
        <f>SUM(D22:D25)</f>
        <v>970509</v>
      </c>
      <c r="E26" s="2">
        <f>SUM(E22:E25)</f>
        <v>1019422.9409999999</v>
      </c>
      <c r="F26" s="2">
        <f>SUM(F22:F25)</f>
        <v>1072018.3266689999</v>
      </c>
      <c r="G26" s="2">
        <f>SUM(G22:G25)</f>
        <v>1128595.0173387809</v>
      </c>
      <c r="H26" s="2">
        <f>SUM(H22:H25)</f>
        <v>1189478.2362393988</v>
      </c>
      <c r="I26" s="2">
        <f>SUM(I22:I25)</f>
        <v>1255020.7497705007</v>
      </c>
      <c r="J26" s="2">
        <f>SUM(J22:J25)</f>
        <v>1325605.2370079202</v>
      </c>
      <c r="K26" s="2">
        <f>SUM(K22:K25)</f>
        <v>1401646.8649790315</v>
      </c>
      <c r="L26" s="2">
        <f>SUM(L22:L25)</f>
        <v>1483596.0876918337</v>
      </c>
      <c r="M26" s="2">
        <f>SUM(M22:M25)</f>
        <v>1571941.6884821625</v>
      </c>
      <c r="N26" s="2">
        <f>SUM(N22:N25)</f>
        <v>1667214.086961997</v>
      </c>
    </row>
    <row r="28" spans="1:14" x14ac:dyDescent="0.4">
      <c r="A28" t="s">
        <v>34</v>
      </c>
      <c r="C28" s="2">
        <f>SUM(C11,C19,C26)</f>
        <v>2297000</v>
      </c>
      <c r="D28" s="2">
        <f>SUM(D11,D19,D26)</f>
        <v>2404921</v>
      </c>
      <c r="E28" s="2">
        <f>SUM(E11,E19,E26)</f>
        <v>2519660.1209999998</v>
      </c>
      <c r="F28" s="2">
        <f>SUM(F11,F19,F26)</f>
        <v>2641692.6222489998</v>
      </c>
      <c r="G28" s="2">
        <f>SUM(G11,G19,G26)</f>
        <v>2771529.1208060486</v>
      </c>
      <c r="H28" s="2">
        <f>SUM(H11,H19,H26)</f>
        <v>2909718.3429451576</v>
      </c>
      <c r="I28" s="2">
        <f>SUM(I11,I19,I26)</f>
        <v>3056850.0969491992</v>
      </c>
      <c r="J28" s="2">
        <f>SUM(J11,J19,J26)</f>
        <v>3213558.4855602691</v>
      </c>
      <c r="K28" s="2">
        <f>SUM(K11,K19,K26)</f>
        <v>3380525.3778899969</v>
      </c>
      <c r="L28" s="2">
        <f>SUM(L11,L19,L26)</f>
        <v>3558484.1622602665</v>
      </c>
      <c r="M28" s="2">
        <f>SUM(M11,M19,M26)</f>
        <v>3748223.8032540963</v>
      </c>
      <c r="N28" s="2">
        <f>SUM(N11,N19,N26)</f>
        <v>3950593.2282202095</v>
      </c>
    </row>
    <row r="30" spans="1:14" x14ac:dyDescent="0.4">
      <c r="A30" t="s">
        <v>35</v>
      </c>
      <c r="C30" s="2">
        <f>SUM(C28:N28)</f>
        <v>36452756.361134246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太田　悠介</dc:creator>
  <cp:lastModifiedBy>太田　悠介</cp:lastModifiedBy>
  <dcterms:created xsi:type="dcterms:W3CDTF">2026-09-03T08:10:40Z</dcterms:created>
  <dcterms:modified xsi:type="dcterms:W3CDTF">2026-09-03T08:10:45Z</dcterms:modified>
</cp:coreProperties>
</file>