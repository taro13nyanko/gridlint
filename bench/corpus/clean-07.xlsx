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ank\Desktop\後藤さんのclaude\ai-builders-2026\gridlint\bench\corpus\"/>
    </mc:Choice>
  </mc:AlternateContent>
  <xr:revisionPtr revIDLastSave="0" documentId="8_{D23BF781-8D00-4BFD-9AB1-7292C72DA584}" xr6:coauthVersionLast="47" xr6:coauthVersionMax="47" xr10:uidLastSave="{00000000-0000-0000-0000-000000000000}"/>
  <bookViews>
    <workbookView xWindow="-120" yWindow="-120" windowWidth="29040" windowHeight="15720" xr2:uid="{DEEFA304-4663-4A05-A521-7BD75F67A675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5" i="1" l="1"/>
  <c r="N23" i="1"/>
  <c r="M23" i="1"/>
  <c r="L23" i="1"/>
  <c r="K23" i="1"/>
  <c r="J23" i="1"/>
  <c r="I23" i="1"/>
  <c r="H23" i="1"/>
  <c r="G23" i="1"/>
  <c r="F23" i="1"/>
  <c r="E23" i="1"/>
  <c r="D23" i="1"/>
  <c r="C23" i="1"/>
  <c r="N21" i="1"/>
  <c r="M21" i="1"/>
  <c r="L21" i="1"/>
  <c r="K21" i="1"/>
  <c r="J21" i="1"/>
  <c r="I21" i="1"/>
  <c r="H21" i="1"/>
  <c r="G21" i="1"/>
  <c r="F21" i="1"/>
  <c r="E21" i="1"/>
  <c r="D21" i="1"/>
  <c r="C21" i="1"/>
  <c r="N20" i="1"/>
  <c r="M20" i="1"/>
  <c r="L20" i="1"/>
  <c r="K20" i="1"/>
  <c r="J20" i="1"/>
  <c r="I20" i="1"/>
  <c r="H20" i="1"/>
  <c r="G20" i="1"/>
  <c r="F20" i="1"/>
  <c r="E20" i="1"/>
  <c r="D20" i="1"/>
  <c r="N19" i="1"/>
  <c r="M19" i="1"/>
  <c r="L19" i="1"/>
  <c r="K19" i="1"/>
  <c r="J19" i="1"/>
  <c r="I19" i="1"/>
  <c r="H19" i="1"/>
  <c r="G19" i="1"/>
  <c r="F19" i="1"/>
  <c r="E19" i="1"/>
  <c r="D19" i="1"/>
  <c r="N18" i="1"/>
  <c r="M18" i="1"/>
  <c r="L18" i="1"/>
  <c r="K18" i="1"/>
  <c r="J18" i="1"/>
  <c r="I18" i="1"/>
  <c r="H18" i="1"/>
  <c r="G18" i="1"/>
  <c r="F18" i="1"/>
  <c r="E18" i="1"/>
  <c r="D18" i="1"/>
  <c r="N17" i="1"/>
  <c r="M17" i="1"/>
  <c r="L17" i="1"/>
  <c r="K17" i="1"/>
  <c r="J17" i="1"/>
  <c r="I17" i="1"/>
  <c r="H17" i="1"/>
  <c r="G17" i="1"/>
  <c r="F17" i="1"/>
  <c r="E17" i="1"/>
  <c r="D17" i="1"/>
  <c r="N16" i="1"/>
  <c r="M16" i="1"/>
  <c r="L16" i="1"/>
  <c r="K16" i="1"/>
  <c r="J16" i="1"/>
  <c r="I16" i="1"/>
  <c r="H16" i="1"/>
  <c r="G16" i="1"/>
  <c r="F16" i="1"/>
  <c r="E16" i="1"/>
  <c r="D16" i="1"/>
  <c r="N15" i="1"/>
  <c r="M15" i="1"/>
  <c r="L15" i="1"/>
  <c r="K15" i="1"/>
  <c r="J15" i="1"/>
  <c r="I15" i="1"/>
  <c r="H15" i="1"/>
  <c r="G15" i="1"/>
  <c r="F15" i="1"/>
  <c r="E15" i="1"/>
  <c r="D15" i="1"/>
  <c r="N12" i="1"/>
  <c r="M12" i="1"/>
  <c r="L12" i="1"/>
  <c r="K12" i="1"/>
  <c r="J12" i="1"/>
  <c r="I12" i="1"/>
  <c r="H12" i="1"/>
  <c r="G12" i="1"/>
  <c r="F12" i="1"/>
  <c r="E12" i="1"/>
  <c r="D12" i="1"/>
  <c r="C12" i="1"/>
  <c r="N11" i="1"/>
  <c r="M11" i="1"/>
  <c r="L11" i="1"/>
  <c r="K11" i="1"/>
  <c r="J11" i="1"/>
  <c r="I11" i="1"/>
  <c r="H11" i="1"/>
  <c r="G11" i="1"/>
  <c r="F11" i="1"/>
  <c r="E11" i="1"/>
  <c r="D11" i="1"/>
  <c r="N10" i="1"/>
  <c r="M10" i="1"/>
  <c r="L10" i="1"/>
  <c r="K10" i="1"/>
  <c r="J10" i="1"/>
  <c r="I10" i="1"/>
  <c r="H10" i="1"/>
  <c r="G10" i="1"/>
  <c r="F10" i="1"/>
  <c r="E10" i="1"/>
  <c r="D10" i="1"/>
  <c r="N9" i="1"/>
  <c r="M9" i="1"/>
  <c r="L9" i="1"/>
  <c r="K9" i="1"/>
  <c r="J9" i="1"/>
  <c r="I9" i="1"/>
  <c r="H9" i="1"/>
  <c r="G9" i="1"/>
  <c r="F9" i="1"/>
  <c r="E9" i="1"/>
  <c r="D9" i="1"/>
  <c r="N8" i="1"/>
  <c r="M8" i="1"/>
  <c r="L8" i="1"/>
  <c r="K8" i="1"/>
  <c r="J8" i="1"/>
  <c r="I8" i="1"/>
  <c r="H8" i="1"/>
  <c r="G8" i="1"/>
  <c r="F8" i="1"/>
  <c r="E8" i="1"/>
  <c r="D8" i="1"/>
  <c r="N7" i="1"/>
  <c r="M7" i="1"/>
  <c r="L7" i="1"/>
  <c r="K7" i="1"/>
  <c r="J7" i="1"/>
  <c r="I7" i="1"/>
  <c r="H7" i="1"/>
  <c r="G7" i="1"/>
  <c r="F7" i="1"/>
  <c r="E7" i="1"/>
  <c r="D7" i="1"/>
  <c r="N6" i="1"/>
  <c r="M6" i="1"/>
  <c r="L6" i="1"/>
  <c r="K6" i="1"/>
  <c r="J6" i="1"/>
  <c r="I6" i="1"/>
  <c r="H6" i="1"/>
  <c r="G6" i="1"/>
  <c r="F6" i="1"/>
  <c r="E6" i="1"/>
  <c r="D6" i="1"/>
</calcChain>
</file>

<file path=xl/sharedStrings.xml><?xml version="1.0" encoding="utf-8"?>
<sst xmlns="http://schemas.openxmlformats.org/spreadsheetml/2006/main" count="32" uniqueCount="32">
  <si>
    <t>Plan</t>
  </si>
  <si>
    <t>Growth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</si>
  <si>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</si>
  <si>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</si>
  <si>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</si>
  <si>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</si>
  <si>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</si>
  <si>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</si>
  <si>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</si>
  <si>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</si>
  <si>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</si>
  <si>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</si>
  <si>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</si>
  <si>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</si>
  <si>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</si>
  <si>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Data vendors</t>
  </si>
  <si>
    <t>Cloud hosting</t>
  </si>
  <si>
    <t>Services</t>
  </si>
  <si>
    <t>Insurance</t>
  </si>
  <si>
    <t>Recruiting</t>
  </si>
  <si>
    <t>Benefits</t>
  </si>
  <si>
    <t>Total revenue</t>
  </si>
  <si>
    <t>COST OF SALES</t>
  </si>
  <si>
    <t>Events</t>
  </si>
  <si>
    <t>Licences</t>
  </si>
  <si>
    <t>Travel</t>
  </si>
  <si>
    <t>Salaries</t>
  </si>
  <si>
    <t>Agency fees</t>
  </si>
  <si>
    <t>Content</t>
  </si>
  <si>
    <t>Total cost of sales</t>
  </si>
  <si>
    <t>Grand total</t>
  </si>
  <si>
    <t>Full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</si>
</sst>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0.0%"/>
    <numFmt numFmtId="180" formatCode="\$#,##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6D86-38AE-41D3-BF40-1C1B4DB87411}">
  <dimension ref="A1:N25"/>
  <sheetViews>
    <sheetView tabSelected="1" workbookViewId="0"/>
  </sheetViews>
  <sheetFormatPr defaultRowHeight="18.75" x14ac:dyDescent="0.4"/>
  <cols>
    <col min="1" max="1" width="28.625" customWidth="1"/>
    <col min="3" max="3" width="11.75" bestFit="1" customWidth="1"/>
    <col min="4" max="14" width="10.625" bestFit="1" customWidth="1"/>
  </cols>
  <sheetData>
    <row r="1" spans="1:14" x14ac:dyDescent="0.4">
      <c r="A1" t="s">
        <v>0</v>
      </c>
    </row>
    <row r="3" spans="1:14" x14ac:dyDescent="0.4"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5" spans="1:14" x14ac:dyDescent="0.4">
      <c r="A5" t="s">
        <v>14</v>
      </c>
    </row>
    <row r="6" spans="1:14" x14ac:dyDescent="0.4">
      <c r="A6" t="s">
        <v>15</v>
      </c>
      <c r="B6" s="1">
        <v>1.2E-2</v>
      </c>
      <c r="C6" s="2">
        <v>355000</v>
      </c>
      <c r="D6" s="2">
        <f>C6*(1+$B$6)</f>
        <v>359260</v>
      </c>
      <c r="E6" s="2">
        <f>D6*(1+$B$6)</f>
        <v>363571.12</v>
      </c>
      <c r="F6" s="2">
        <f>E6*(1+$B$6)</f>
        <v>367933.97343999997</v>
      </c>
      <c r="G6" s="2">
        <f>F6*(1+$B$6)</f>
        <v>372349.18112127995</v>
      </c>
      <c r="H6" s="2">
        <f>G6*(1+$B$6)</f>
        <v>376817.37129473529</v>
      </c>
      <c r="I6" s="2">
        <f>H6*(1+$B$6)</f>
        <v>381339.17975027213</v>
      </c>
      <c r="J6" s="2">
        <f>I6*(1+$B$6)</f>
        <v>385915.24990727543</v>
      </c>
      <c r="K6" s="2">
        <f>J6*(1+$B$6)</f>
        <v>390546.23290616274</v>
      </c>
      <c r="L6" s="2">
        <f>K6*(1+$B$6)</f>
        <v>395232.78770103672</v>
      </c>
      <c r="M6" s="2">
        <f>L6*(1+$B$6)</f>
        <v>399975.58115344919</v>
      </c>
      <c r="N6" s="2">
        <f>M6*(1+$B$6)</f>
        <v>404775.28812729061</v>
      </c>
    </row>
    <row r="7" spans="1:14" x14ac:dyDescent="0.4">
      <c r="A7" t="s">
        <v>16</v>
      </c>
      <c r="B7" s="1">
        <v>-5.0000000000000001E-3</v>
      </c>
      <c r="C7" s="2">
        <v>372000</v>
      </c>
      <c r="D7" s="2">
        <f>C7*(1+$B$7)</f>
        <v>370140</v>
      </c>
      <c r="E7" s="2">
        <f>D7*(1+$B$7)</f>
        <v>368289.3</v>
      </c>
      <c r="F7" s="2">
        <f>E7*(1+$B$7)</f>
        <v>366447.85349999997</v>
      </c>
      <c r="G7" s="2">
        <f>F7*(1+$B$7)</f>
        <v>364615.61423249997</v>
      </c>
      <c r="H7" s="2">
        <f>G7*(1+$B$7)</f>
        <v>362792.53616133746</v>
      </c>
      <c r="I7" s="2">
        <f>H7*(1+$B$7)</f>
        <v>360978.57348053076</v>
      </c>
      <c r="J7" s="2">
        <f>I7*(1+$B$7)</f>
        <v>359173.68061312812</v>
      </c>
      <c r="K7" s="2">
        <f>J7*(1+$B$7)</f>
        <v>357377.81221006246</v>
      </c>
      <c r="L7" s="2">
        <f>K7*(1+$B$7)</f>
        <v>355590.92314901215</v>
      </c>
      <c r="M7" s="2">
        <f>L7*(1+$B$7)</f>
        <v>353812.96853326709</v>
      </c>
      <c r="N7" s="2">
        <f>M7*(1+$B$7)</f>
        <v>352043.90369060077</v>
      </c>
    </row>
    <row r="8" spans="1:14" x14ac:dyDescent="0.4">
      <c r="A8" t="s">
        <v>17</v>
      </c>
      <c r="B8" s="1">
        <v>2.3E-2</v>
      </c>
      <c r="C8" s="2">
        <v>298000</v>
      </c>
      <c r="D8" s="2">
        <f>C8*(1+$B$8)</f>
        <v>304854</v>
      </c>
      <c r="E8" s="2">
        <f>D8*(1+$B$8)</f>
        <v>311865.64199999999</v>
      </c>
      <c r="F8" s="2">
        <f>E8*(1+$B$8)</f>
        <v>319038.55176599999</v>
      </c>
      <c r="G8" s="2">
        <f>F8*(1+$B$8)</f>
        <v>326376.43845661794</v>
      </c>
      <c r="H8" s="2">
        <f>G8*(1+$B$8)</f>
        <v>333883.09654112015</v>
      </c>
      <c r="I8" s="2">
        <f>H8*(1+$B$8)</f>
        <v>341562.40776156588</v>
      </c>
      <c r="J8" s="2">
        <f>I8*(1+$B$8)</f>
        <v>349418.34314008185</v>
      </c>
      <c r="K8" s="2">
        <f>J8*(1+$B$8)</f>
        <v>357454.96503230371</v>
      </c>
      <c r="L8" s="2">
        <f>K8*(1+$B$8)</f>
        <v>365676.42922804668</v>
      </c>
      <c r="M8" s="2">
        <f>L8*(1+$B$8)</f>
        <v>374086.98710029171</v>
      </c>
      <c r="N8" s="2">
        <f>M8*(1+$B$8)</f>
        <v>382690.9878035984</v>
      </c>
    </row>
    <row r="9" spans="1:14" x14ac:dyDescent="0.4">
      <c r="A9" t="s">
        <v>18</v>
      </c>
      <c r="B9" s="1">
        <v>0.02</v>
      </c>
      <c r="C9" s="2">
        <v>20000</v>
      </c>
      <c r="D9" s="2">
        <f>C9*(1+$B$9)</f>
        <v>20400</v>
      </c>
      <c r="E9" s="2">
        <f>D9*(1+$B$9)</f>
        <v>20808</v>
      </c>
      <c r="F9" s="2">
        <f>E9*(1+$B$9)</f>
        <v>21224.16</v>
      </c>
      <c r="G9" s="2">
        <f>F9*(1+$B$9)</f>
        <v>21648.643199999999</v>
      </c>
      <c r="H9" s="2">
        <f>G9*(1+$B$9)</f>
        <v>22081.616063999998</v>
      </c>
      <c r="I9" s="2">
        <f>H9*(1+$B$9)</f>
        <v>22523.24838528</v>
      </c>
      <c r="J9" s="2">
        <f>I9*(1+$B$9)</f>
        <v>22973.7133529856</v>
      </c>
      <c r="K9" s="2">
        <f>J9*(1+$B$9)</f>
        <v>23433.187620045312</v>
      </c>
      <c r="L9" s="2">
        <f>K9*(1+$B$9)</f>
        <v>23901.851372446217</v>
      </c>
      <c r="M9" s="2">
        <f>L9*(1+$B$9)</f>
        <v>24379.888399895142</v>
      </c>
      <c r="N9" s="2">
        <f>M9*(1+$B$9)</f>
        <v>24867.486167893047</v>
      </c>
    </row>
    <row r="10" spans="1:14" x14ac:dyDescent="0.4">
      <c r="A10" t="s">
        <v>19</v>
      </c>
      <c r="B10" s="1">
        <v>2.1999999999999999E-2</v>
      </c>
      <c r="C10" s="2">
        <v>278000</v>
      </c>
      <c r="D10" s="2">
        <f>C10*(1+$B$10)</f>
        <v>284116</v>
      </c>
      <c r="E10" s="2">
        <f>D10*(1+$B$10)</f>
        <v>290366.55200000003</v>
      </c>
      <c r="F10" s="2">
        <f>E10*(1+$B$10)</f>
        <v>296754.61614400003</v>
      </c>
      <c r="G10" s="2">
        <f>F10*(1+$B$10)</f>
        <v>303283.21769916802</v>
      </c>
      <c r="H10" s="2">
        <f>G10*(1+$B$10)</f>
        <v>309955.44848854974</v>
      </c>
      <c r="I10" s="2">
        <f>H10*(1+$B$10)</f>
        <v>316774.46835529781</v>
      </c>
      <c r="J10" s="2">
        <f>I10*(1+$B$10)</f>
        <v>323743.50665911438</v>
      </c>
      <c r="K10" s="2">
        <f>J10*(1+$B$10)</f>
        <v>330865.86380561494</v>
      </c>
      <c r="L10" s="2">
        <f>K10*(1+$B$10)</f>
        <v>338144.91280933848</v>
      </c>
      <c r="M10" s="2">
        <f>L10*(1+$B$10)</f>
        <v>345584.10089114396</v>
      </c>
      <c r="N10" s="2">
        <f>M10*(1+$B$10)</f>
        <v>353186.95111074916</v>
      </c>
    </row>
    <row r="11" spans="1:14" x14ac:dyDescent="0.4">
      <c r="A11" t="s">
        <v>20</v>
      </c>
      <c r="B11" s="1">
        <v>5.3999999999999999E-2</v>
      </c>
      <c r="C11" s="2">
        <v>112000</v>
      </c>
      <c r="D11" s="2">
        <f>C11*(1+$B$11)</f>
        <v>118048</v>
      </c>
      <c r="E11" s="2">
        <f>D11*(1+$B$11)</f>
        <v>124422.592</v>
      </c>
      <c r="F11" s="2">
        <f>E11*(1+$B$11)</f>
        <v>131141.411968</v>
      </c>
      <c r="G11" s="2">
        <f>F11*(1+$B$11)</f>
        <v>138223.04821427201</v>
      </c>
      <c r="H11" s="2">
        <f>G11*(1+$B$11)</f>
        <v>145687.0928178427</v>
      </c>
      <c r="I11" s="2">
        <f>H11*(1+$B$11)</f>
        <v>153554.19583000621</v>
      </c>
      <c r="J11" s="2">
        <f>I11*(1+$B$11)</f>
        <v>161846.12240482654</v>
      </c>
      <c r="K11" s="2">
        <f>J11*(1+$B$11)</f>
        <v>170585.81301468718</v>
      </c>
      <c r="L11" s="2">
        <f>K11*(1+$B$11)</f>
        <v>179797.44691748029</v>
      </c>
      <c r="M11" s="2">
        <f>L11*(1+$B$11)</f>
        <v>189506.50905102424</v>
      </c>
      <c r="N11" s="2">
        <f>M11*(1+$B$11)</f>
        <v>199739.86053977956</v>
      </c>
    </row>
    <row r="12" spans="1:14" x14ac:dyDescent="0.4">
      <c r="A12" t="s">
        <v>21</v>
      </c>
      <c r="C12" s="2">
        <f>SUM(C6:C11)</f>
        <v>1435000</v>
      </c>
      <c r="D12" s="2">
        <f>SUM(D6:D11)</f>
        <v>1456818</v>
      </c>
      <c r="E12" s="2">
        <f>SUM(E6:E11)</f>
        <v>1479323.206</v>
      </c>
      <c r="F12" s="2">
        <f>SUM(F6:F11)</f>
        <v>1502540.5668179998</v>
      </c>
      <c r="G12" s="2">
        <f>SUM(G6:G11)</f>
        <v>1526496.142923838</v>
      </c>
      <c r="H12" s="2">
        <f>SUM(H6:H11)</f>
        <v>1551217.1613675854</v>
      </c>
      <c r="I12" s="2">
        <f>SUM(I6:I11)</f>
        <v>1576732.0735629527</v>
      </c>
      <c r="J12" s="2">
        <f>SUM(J6:J11)</f>
        <v>1603070.6160774122</v>
      </c>
      <c r="K12" s="2">
        <f>SUM(K6:K11)</f>
        <v>1630263.8745888765</v>
      </c>
      <c r="L12" s="2">
        <f>SUM(L6:L11)</f>
        <v>1658344.3511773604</v>
      </c>
      <c r="M12" s="2">
        <f>SUM(M6:M11)</f>
        <v>1687346.0351290712</v>
      </c>
      <c r="N12" s="2">
        <f>SUM(N6:N11)</f>
        <v>1717304.4774399116</v>
      </c>
    </row>
    <row r="14" spans="1:14" x14ac:dyDescent="0.4">
      <c r="A14" t="s">
        <v>22</v>
      </c>
    </row>
    <row r="15" spans="1:14" x14ac:dyDescent="0.4">
      <c r="A15" t="s">
        <v>23</v>
      </c>
      <c r="B15" s="1">
        <v>3.6999999999999998E-2</v>
      </c>
      <c r="C15" s="2">
        <v>58000</v>
      </c>
      <c r="D15" s="2">
        <f>C15*(1+$B$15)</f>
        <v>60145.999999999993</v>
      </c>
      <c r="E15" s="2">
        <f>D15*(1+$B$15)</f>
        <v>62371.401999999987</v>
      </c>
      <c r="F15" s="2">
        <f>E15*(1+$B$15)</f>
        <v>64679.143873999979</v>
      </c>
      <c r="G15" s="2">
        <f>F15*(1+$B$15)</f>
        <v>67072.272197337967</v>
      </c>
      <c r="H15" s="2">
        <f>G15*(1+$B$15)</f>
        <v>69553.946268639469</v>
      </c>
      <c r="I15" s="2">
        <f>H15*(1+$B$15)</f>
        <v>72127.442280579126</v>
      </c>
      <c r="J15" s="2">
        <f>I15*(1+$B$15)</f>
        <v>74796.157644960549</v>
      </c>
      <c r="K15" s="2">
        <f>J15*(1+$B$15)</f>
        <v>77563.615477824089</v>
      </c>
      <c r="L15" s="2">
        <f>K15*(1+$B$15)</f>
        <v>80433.469250503578</v>
      </c>
      <c r="M15" s="2">
        <f>L15*(1+$B$15)</f>
        <v>83409.507612772199</v>
      </c>
      <c r="N15" s="2">
        <f>M15*(1+$B$15)</f>
        <v>86495.659394444767</v>
      </c>
    </row>
    <row r="16" spans="1:14" x14ac:dyDescent="0.4">
      <c r="A16" t="s">
        <v>24</v>
      </c>
      <c r="B16" s="1">
        <v>6.4000000000000001E-2</v>
      </c>
      <c r="C16" s="2">
        <v>88000</v>
      </c>
      <c r="D16" s="2">
        <f>C16*(1+$B$16)</f>
        <v>93632</v>
      </c>
      <c r="E16" s="2">
        <f>D16*(1+$B$16)</f>
        <v>99624.448000000004</v>
      </c>
      <c r="F16" s="2">
        <f>E16*(1+$B$16)</f>
        <v>106000.41267200001</v>
      </c>
      <c r="G16" s="2">
        <f>F16*(1+$B$16)</f>
        <v>112784.43908300801</v>
      </c>
      <c r="H16" s="2">
        <f>G16*(1+$B$16)</f>
        <v>120002.64318432052</v>
      </c>
      <c r="I16" s="2">
        <f>H16*(1+$B$16)</f>
        <v>127682.81234811705</v>
      </c>
      <c r="J16" s="2">
        <f>I16*(1+$B$16)</f>
        <v>135854.51233839654</v>
      </c>
      <c r="K16" s="2">
        <f>J16*(1+$B$16)</f>
        <v>144549.20112805392</v>
      </c>
      <c r="L16" s="2">
        <f>K16*(1+$B$16)</f>
        <v>153800.35000024937</v>
      </c>
      <c r="M16" s="2">
        <f>L16*(1+$B$16)</f>
        <v>163643.57240026534</v>
      </c>
      <c r="N16" s="2">
        <f>M16*(1+$B$16)</f>
        <v>174116.76103388233</v>
      </c>
    </row>
    <row r="17" spans="1:14" x14ac:dyDescent="0.4">
      <c r="A17" t="s">
        <v>25</v>
      </c>
      <c r="B17" s="1">
        <v>3.4000000000000002E-2</v>
      </c>
      <c r="C17" s="2">
        <v>281000</v>
      </c>
      <c r="D17" s="2">
        <f>C17*(1+$B$17)</f>
        <v>290554</v>
      </c>
      <c r="E17" s="2">
        <f>D17*(1+$B$17)</f>
        <v>300432.83600000001</v>
      </c>
      <c r="F17" s="2">
        <f>E17*(1+$B$17)</f>
        <v>310647.55242399999</v>
      </c>
      <c r="G17" s="2">
        <f>F17*(1+$B$17)</f>
        <v>321209.56920641602</v>
      </c>
      <c r="H17" s="2">
        <f>G17*(1+$B$17)</f>
        <v>332130.6945594342</v>
      </c>
      <c r="I17" s="2">
        <f>H17*(1+$B$17)</f>
        <v>343423.13817445497</v>
      </c>
      <c r="J17" s="2">
        <f>I17*(1+$B$17)</f>
        <v>355099.52487238648</v>
      </c>
      <c r="K17" s="2">
        <f>J17*(1+$B$17)</f>
        <v>367172.90871804761</v>
      </c>
      <c r="L17" s="2">
        <f>K17*(1+$B$17)</f>
        <v>379656.78761446121</v>
      </c>
      <c r="M17" s="2">
        <f>L17*(1+$B$17)</f>
        <v>392565.1183933529</v>
      </c>
      <c r="N17" s="2">
        <f>M17*(1+$B$17)</f>
        <v>405912.33241872693</v>
      </c>
    </row>
    <row r="18" spans="1:14" x14ac:dyDescent="0.4">
      <c r="A18" t="s">
        <v>26</v>
      </c>
      <c r="B18" s="1">
        <v>5.3999999999999999E-2</v>
      </c>
      <c r="C18" s="2">
        <v>114000</v>
      </c>
      <c r="D18" s="2">
        <f>C18*(1+$B$18)</f>
        <v>120156</v>
      </c>
      <c r="E18" s="2">
        <f>D18*(1+$B$18)</f>
        <v>126644.424</v>
      </c>
      <c r="F18" s="2">
        <f>E18*(1+$B$18)</f>
        <v>133483.22289599999</v>
      </c>
      <c r="G18" s="2">
        <f>F18*(1+$B$18)</f>
        <v>140691.31693238401</v>
      </c>
      <c r="H18" s="2">
        <f>G18*(1+$B$18)</f>
        <v>148288.64804673276</v>
      </c>
      <c r="I18" s="2">
        <f>H18*(1+$B$18)</f>
        <v>156296.23504125635</v>
      </c>
      <c r="J18" s="2">
        <f>I18*(1+$B$18)</f>
        <v>164736.23173348419</v>
      </c>
      <c r="K18" s="2">
        <f>J18*(1+$B$18)</f>
        <v>173631.98824709235</v>
      </c>
      <c r="L18" s="2">
        <f>K18*(1+$B$18)</f>
        <v>183008.11561243533</v>
      </c>
      <c r="M18" s="2">
        <f>L18*(1+$B$18)</f>
        <v>192890.55385550685</v>
      </c>
      <c r="N18" s="2">
        <f>M18*(1+$B$18)</f>
        <v>203306.64376370423</v>
      </c>
    </row>
    <row r="19" spans="1:14" x14ac:dyDescent="0.4">
      <c r="A19" t="s">
        <v>27</v>
      </c>
      <c r="B19" s="1">
        <v>3.0000000000000001E-3</v>
      </c>
      <c r="C19" s="2">
        <v>257000</v>
      </c>
      <c r="D19" s="2">
        <f>C19*(1+$B$19)</f>
        <v>257770.99999999997</v>
      </c>
      <c r="E19" s="2">
        <f>D19*(1+$B$19)</f>
        <v>258544.31299999994</v>
      </c>
      <c r="F19" s="2">
        <f>E19*(1+$B$19)</f>
        <v>259319.94593899991</v>
      </c>
      <c r="G19" s="2">
        <f>F19*(1+$B$19)</f>
        <v>260097.90577681689</v>
      </c>
      <c r="H19" s="2">
        <f>G19*(1+$B$19)</f>
        <v>260878.19949414729</v>
      </c>
      <c r="I19" s="2">
        <f>H19*(1+$B$19)</f>
        <v>261660.8340926297</v>
      </c>
      <c r="J19" s="2">
        <f>I19*(1+$B$19)</f>
        <v>262445.81659490755</v>
      </c>
      <c r="K19" s="2">
        <f>J19*(1+$B$19)</f>
        <v>263233.15404469223</v>
      </c>
      <c r="L19" s="2">
        <f>K19*(1+$B$19)</f>
        <v>264022.85350682627</v>
      </c>
      <c r="M19" s="2">
        <f>L19*(1+$B$19)</f>
        <v>264814.92206734675</v>
      </c>
      <c r="N19" s="2">
        <f>M19*(1+$B$19)</f>
        <v>265609.36683354876</v>
      </c>
    </row>
    <row r="20" spans="1:14" x14ac:dyDescent="0.4">
      <c r="A20" t="s">
        <v>28</v>
      </c>
      <c r="B20" s="1">
        <v>8.2000000000000003E-2</v>
      </c>
      <c r="C20" s="2">
        <v>367000</v>
      </c>
      <c r="D20" s="2">
        <f>C20*(1+$B$20)</f>
        <v>397094</v>
      </c>
      <c r="E20" s="2">
        <f>D20*(1+$B$20)</f>
        <v>429655.70800000004</v>
      </c>
      <c r="F20" s="2">
        <f>E20*(1+$B$20)</f>
        <v>464887.4760560001</v>
      </c>
      <c r="G20" s="2">
        <f>F20*(1+$B$20)</f>
        <v>503008.24909259216</v>
      </c>
      <c r="H20" s="2">
        <f>G20*(1+$B$20)</f>
        <v>544254.92551818478</v>
      </c>
      <c r="I20" s="2">
        <f>H20*(1+$B$20)</f>
        <v>588883.82941067603</v>
      </c>
      <c r="J20" s="2">
        <f>I20*(1+$B$20)</f>
        <v>637172.30342235148</v>
      </c>
      <c r="K20" s="2">
        <f>J20*(1+$B$20)</f>
        <v>689420.43230298441</v>
      </c>
      <c r="L20" s="2">
        <f>K20*(1+$B$20)</f>
        <v>745952.90775182913</v>
      </c>
      <c r="M20" s="2">
        <f>L20*(1+$B$20)</f>
        <v>807121.04618747917</v>
      </c>
      <c r="N20" s="2">
        <f>M20*(1+$B$20)</f>
        <v>873304.97197485249</v>
      </c>
    </row>
    <row r="21" spans="1:14" x14ac:dyDescent="0.4">
      <c r="A21" t="s">
        <v>29</v>
      </c>
      <c r="C21" s="2">
        <f>SUM(C15:C20)</f>
        <v>1165000</v>
      </c>
      <c r="D21" s="2">
        <f>SUM(D15:D20)</f>
        <v>1219353</v>
      </c>
      <c r="E21" s="2">
        <f>SUM(E15:E20)</f>
        <v>1277273.1310000001</v>
      </c>
      <c r="F21" s="2">
        <f>SUM(F15:F20)</f>
        <v>1339017.7538609998</v>
      </c>
      <c r="G21" s="2">
        <f>SUM(G15:G20)</f>
        <v>1404863.752288555</v>
      </c>
      <c r="H21" s="2">
        <f>SUM(H15:H20)</f>
        <v>1475109.057071459</v>
      </c>
      <c r="I21" s="2">
        <f>SUM(I15:I20)</f>
        <v>1550074.2913477132</v>
      </c>
      <c r="J21" s="2">
        <f>SUM(J15:J20)</f>
        <v>1630104.5466064867</v>
      </c>
      <c r="K21" s="2">
        <f>SUM(K15:K20)</f>
        <v>1715571.2999186947</v>
      </c>
      <c r="L21" s="2">
        <f>SUM(L15:L20)</f>
        <v>1806874.483736305</v>
      </c>
      <c r="M21" s="2">
        <f>SUM(M15:M20)</f>
        <v>1904444.7205167231</v>
      </c>
      <c r="N21" s="2">
        <f>SUM(N15:N20)</f>
        <v>2008745.7354191595</v>
      </c>
    </row>
    <row r="23" spans="1:14" x14ac:dyDescent="0.4">
      <c r="A23" t="s">
        <v>30</v>
      </c>
      <c r="C23" s="2">
        <f>SUM(C12,C21)</f>
        <v>2600000</v>
      </c>
      <c r="D23" s="2">
        <f>SUM(D12,D21)</f>
        <v>2676171</v>
      </c>
      <c r="E23" s="2">
        <f>SUM(E12,E21)</f>
        <v>2756596.3370000003</v>
      </c>
      <c r="F23" s="2">
        <f>SUM(F12,F21)</f>
        <v>2841558.3206789996</v>
      </c>
      <c r="G23" s="2">
        <f>SUM(G12,G21)</f>
        <v>2931359.8952123933</v>
      </c>
      <c r="H23" s="2">
        <f>SUM(H12,H21)</f>
        <v>3026326.2184390444</v>
      </c>
      <c r="I23" s="2">
        <f>SUM(I12,I21)</f>
        <v>3126806.3649106659</v>
      </c>
      <c r="J23" s="2">
        <f>SUM(J12,J21)</f>
        <v>3233175.1626838986</v>
      </c>
      <c r="K23" s="2">
        <f>SUM(K12,K21)</f>
        <v>3345835.1745075714</v>
      </c>
      <c r="L23" s="2">
        <f>SUM(L12,L21)</f>
        <v>3465218.8349136654</v>
      </c>
      <c r="M23" s="2">
        <f>SUM(M12,M21)</f>
        <v>3591790.7556457943</v>
      </c>
      <c r="N23" s="2">
        <f>SUM(N12,N21)</f>
        <v>3726050.2128590709</v>
      </c>
    </row>
    <row r="25" spans="1:14" x14ac:dyDescent="0.4">
      <c r="A25" t="s">
        <v>31</v>
      </c>
      <c r="C25" s="2">
        <f>SUM(C23:N23)</f>
        <v>37320888.27685111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　悠介</dc:creator>
  <cp:lastModifiedBy>太田　悠介</cp:lastModifiedBy>
  <dcterms:created xsi:type="dcterms:W3CDTF">2026-09-03T08:10:45Z</dcterms:created>
  <dcterms:modified xsi:type="dcterms:W3CDTF">2026-09-03T08:10:50Z</dcterms:modified>
</cp:coreProperties>
</file>