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68C83E5D-DF0B-4CFC-8EF9-AD85E216125C}" xr6:coauthVersionLast="47" xr6:coauthVersionMax="47" xr10:uidLastSave="{00000000-0000-0000-0000-000000000000}"/>
  <bookViews>
    <workbookView xWindow="-120" yWindow="-120" windowWidth="29040" windowHeight="15720" xr2:uid="{3C1ECDB9-9A9D-4DDD-83B8-5B3A7A2F10C8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26" i="1"/>
  <c r="N19" i="1"/>
  <c r="M19" i="1"/>
  <c r="L19" i="1"/>
  <c r="K19" i="1"/>
  <c r="J19" i="1"/>
  <c r="I19" i="1"/>
  <c r="H19" i="1"/>
  <c r="G19" i="1"/>
  <c r="F19" i="1"/>
  <c r="E19" i="1"/>
  <c r="D19" i="1"/>
  <c r="C19" i="1"/>
  <c r="N17" i="1"/>
  <c r="M17" i="1"/>
  <c r="L17" i="1"/>
  <c r="K17" i="1"/>
  <c r="J17" i="1"/>
  <c r="I17" i="1"/>
  <c r="H17" i="1"/>
  <c r="G17" i="1"/>
  <c r="F17" i="1"/>
  <c r="E17" i="1"/>
  <c r="D17" i="1"/>
  <c r="C17" i="1"/>
  <c r="N16" i="1"/>
  <c r="M16" i="1"/>
  <c r="L16" i="1"/>
  <c r="K16" i="1"/>
  <c r="J16" i="1"/>
  <c r="I16" i="1"/>
  <c r="H16" i="1"/>
  <c r="G16" i="1"/>
  <c r="F16" i="1"/>
  <c r="E16" i="1"/>
  <c r="D16" i="1"/>
  <c r="N15" i="1"/>
  <c r="M15" i="1"/>
  <c r="L15" i="1"/>
  <c r="K15" i="1"/>
  <c r="J15" i="1"/>
  <c r="I15" i="1"/>
  <c r="H15" i="1"/>
  <c r="G15" i="1"/>
  <c r="F15" i="1"/>
  <c r="E15" i="1"/>
  <c r="D15" i="1"/>
  <c r="N14" i="1"/>
  <c r="M14" i="1"/>
  <c r="L14" i="1"/>
  <c r="K14" i="1"/>
  <c r="J14" i="1"/>
  <c r="I14" i="1"/>
  <c r="H14" i="1"/>
  <c r="G14" i="1"/>
  <c r="F14" i="1"/>
  <c r="E14" i="1"/>
  <c r="D14" i="1"/>
  <c r="N13" i="1"/>
  <c r="M13" i="1"/>
  <c r="L13" i="1"/>
  <c r="K13" i="1"/>
  <c r="J13" i="1"/>
  <c r="I13" i="1"/>
  <c r="H13" i="1"/>
  <c r="G13" i="1"/>
  <c r="F13" i="1"/>
  <c r="E13" i="1"/>
  <c r="D13" i="1"/>
  <c r="N12" i="1"/>
  <c r="M12" i="1"/>
  <c r="L12" i="1"/>
  <c r="K12" i="1"/>
  <c r="J12" i="1"/>
  <c r="I12" i="1"/>
  <c r="H12" i="1"/>
  <c r="G12" i="1"/>
  <c r="F12" i="1"/>
  <c r="E12" i="1"/>
  <c r="D12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N7" i="1"/>
  <c r="M7" i="1"/>
  <c r="L7" i="1"/>
  <c r="K7" i="1"/>
  <c r="J7" i="1"/>
  <c r="I7" i="1"/>
  <c r="H7" i="1"/>
  <c r="G7" i="1"/>
  <c r="F7" i="1"/>
  <c r="E7" i="1"/>
  <c r="D7" i="1"/>
  <c r="N6" i="1"/>
  <c r="M6" i="1"/>
  <c r="L6" i="1"/>
  <c r="K6" i="1"/>
  <c r="J6" i="1"/>
  <c r="I6" i="1"/>
  <c r="H6" i="1"/>
  <c r="G6" i="1"/>
  <c r="F6" i="1"/>
  <c r="E6" i="1"/>
  <c r="D6" i="1"/>
  <c r="N5" i="1"/>
  <c r="M5" i="1"/>
  <c r="L5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<sst xmlns="http://schemas.openxmlformats.org/spreadsheetml/2006/main" count="37" uniqueCount="37">
  <si>
    <t>Plan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</si>
  <si>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</si>
  <si>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</si>
  <si>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</si>
  <si>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</si>
  <si>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</si>
  <si>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</si>
  <si>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</si>
  <si>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</si>
  <si>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</si>
  <si>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</si>
  <si>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</si>
  <si>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</si>
  <si>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</si>
  <si>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</si>
  <si>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Benefits</t>
  </si>
  <si>
    <t>Software tools</t>
  </si>
  <si>
    <t>Data vendors</t>
  </si>
  <si>
    <t>Content</t>
  </si>
  <si>
    <t>Subscriptions</t>
  </si>
  <si>
    <t>Total revenue</t>
  </si>
  <si>
    <t>COST OF SALES</t>
  </si>
  <si>
    <t>Sponsorships</t>
  </si>
  <si>
    <t>Licences</t>
  </si>
  <si>
    <t>Agency fees</t>
  </si>
  <si>
    <t>Cloud hosting</t>
  </si>
  <si>
    <t>Travel</t>
  </si>
  <si>
    <t>Total cost of sales</t>
  </si>
  <si>
    <t>Grand total</t>
  </si>
  <si>
    <t>Region</t>
  </si>
  <si>
    <t>Weight</t>
  </si>
  <si>
    <t>North</t>
  </si>
  <si>
    <t>South</t>
  </si>
  <si>
    <t>East</t>
  </si>
  <si>
    <t>West</t>
  </si>
  <si>
    <t>Weighted first month</t>
  </si>
  <si>
    <t>Full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</si>
</sst>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\$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A2DC-5D20-4103-A56F-26DB9697FE58}">
  <dimension ref="A1:N28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14" width="10.625" bestFit="1" customWidth="1"/>
  </cols>
  <sheetData>
    <row r="1" spans="1:14" x14ac:dyDescent="0.4">
      <c r="A1" t="s">
        <v>0</v>
      </c>
    </row>
    <row r="3" spans="1:14" x14ac:dyDescent="0.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4">
      <c r="A4" t="s">
        <v>14</v>
      </c>
    </row>
    <row r="5" spans="1:14" x14ac:dyDescent="0.4">
      <c r="A5" t="s">
        <v>15</v>
      </c>
      <c r="B5" s="1">
        <v>6.4000000000000001E-2</v>
      </c>
      <c r="C5" s="2">
        <v>335000</v>
      </c>
      <c r="D5" s="2">
        <f>C5*(1+$B$5)</f>
        <v>356440</v>
      </c>
      <c r="E5" s="2">
        <f>D5*(1+$B$5)</f>
        <v>379252.16000000003</v>
      </c>
      <c r="F5" s="2">
        <f>E5*(1+$B$5)</f>
        <v>403524.29824000003</v>
      </c>
      <c r="G5" s="2">
        <f>F5*(1+$B$5)</f>
        <v>429349.85332736006</v>
      </c>
      <c r="H5" s="2">
        <f>G5*(1+$B$5)</f>
        <v>456828.24394031113</v>
      </c>
      <c r="I5" s="2">
        <f>H5*(1+$B$5)</f>
        <v>486065.2515524911</v>
      </c>
      <c r="J5" s="2">
        <f>I5*(1+$B$5)</f>
        <v>517173.42765185056</v>
      </c>
      <c r="K5" s="2">
        <f>J5*(1+$B$5)</f>
        <v>550272.52702156908</v>
      </c>
      <c r="L5" s="2">
        <f>K5*(1+$B$5)</f>
        <v>585489.96875094948</v>
      </c>
      <c r="M5" s="2">
        <f>L5*(1+$B$5)</f>
        <v>622961.32675101026</v>
      </c>
      <c r="N5" s="2">
        <f>M5*(1+$B$5)</f>
        <v>662830.85166307492</v>
      </c>
    </row>
    <row r="6" spans="1:14" x14ac:dyDescent="0.4">
      <c r="A6" t="s">
        <v>16</v>
      </c>
      <c r="B6" s="1">
        <v>4.8000000000000001E-2</v>
      </c>
      <c r="C6" s="2">
        <v>333000</v>
      </c>
      <c r="D6" s="2">
        <f>C6*(1+$B$6)</f>
        <v>348984</v>
      </c>
      <c r="E6" s="2">
        <f>D6*(1+$B$6)</f>
        <v>365735.23200000002</v>
      </c>
      <c r="F6" s="2">
        <f>E6*(1+$B$6)</f>
        <v>383290.52313600003</v>
      </c>
      <c r="G6" s="2">
        <f>F6*(1+$B$6)</f>
        <v>401688.46824652806</v>
      </c>
      <c r="H6" s="2">
        <f>G6*(1+$B$6)</f>
        <v>420969.5147223614</v>
      </c>
      <c r="I6" s="2">
        <f>H6*(1+$B$6)</f>
        <v>441176.05142903479</v>
      </c>
      <c r="J6" s="2">
        <f>I6*(1+$B$6)</f>
        <v>462352.50189762848</v>
      </c>
      <c r="K6" s="2">
        <f>J6*(1+$B$6)</f>
        <v>484545.42198871466</v>
      </c>
      <c r="L6" s="2">
        <f>K6*(1+$B$6)</f>
        <v>507803.602244173</v>
      </c>
      <c r="M6" s="2">
        <f>L6*(1+$B$6)</f>
        <v>532178.17515189329</v>
      </c>
      <c r="N6" s="2">
        <f>M6*(1+$B$6)</f>
        <v>557722.72755918419</v>
      </c>
    </row>
    <row r="7" spans="1:14" x14ac:dyDescent="0.4">
      <c r="A7" t="s">
        <v>17</v>
      </c>
      <c r="B7" s="1">
        <v>2E-3</v>
      </c>
      <c r="C7" s="2">
        <v>132000</v>
      </c>
      <c r="D7" s="2">
        <f>C7*(1+$B$7)</f>
        <v>132264</v>
      </c>
      <c r="E7" s="2">
        <f>D7*(1+$B$7)</f>
        <v>132528.52799999999</v>
      </c>
      <c r="F7" s="2">
        <f>E7*(1+$B$7)</f>
        <v>132793.58505599998</v>
      </c>
      <c r="G7" s="2">
        <f>F7*(1+$B$7)</f>
        <v>133059.17222611199</v>
      </c>
      <c r="H7" s="2">
        <f>G7*(1+$B$7)</f>
        <v>133325.29057056422</v>
      </c>
      <c r="I7" s="2">
        <f>H7*(1+$B$7)</f>
        <v>133591.94115170534</v>
      </c>
      <c r="J7" s="2">
        <f>I7*(1+$B$7)</f>
        <v>133859.12503400876</v>
      </c>
      <c r="K7" s="2">
        <f>J7*(1+$B$7)</f>
        <v>134126.84328407678</v>
      </c>
      <c r="L7" s="2">
        <f>K7*(1+$B$7)</f>
        <v>134395.09697064493</v>
      </c>
      <c r="M7" s="2">
        <f>L7*(1+$B$7)</f>
        <v>134663.88716458622</v>
      </c>
      <c r="N7" s="2">
        <f>M7*(1+$B$7)</f>
        <v>134933.21493891539</v>
      </c>
    </row>
    <row r="8" spans="1:14" x14ac:dyDescent="0.4">
      <c r="A8" t="s">
        <v>18</v>
      </c>
      <c r="B8" s="1">
        <v>3.2000000000000001E-2</v>
      </c>
      <c r="C8" s="2">
        <v>112000</v>
      </c>
      <c r="D8" s="2">
        <f>C8*(1+$B$8)</f>
        <v>115584</v>
      </c>
      <c r="E8" s="2">
        <f>D8*(1+$B$8)</f>
        <v>119282.68800000001</v>
      </c>
      <c r="F8" s="2">
        <f>E8*(1+$B$8)</f>
        <v>123099.73401600002</v>
      </c>
      <c r="G8" s="2">
        <f>F8*(1+$B$8)</f>
        <v>127038.92550451202</v>
      </c>
      <c r="H8" s="2">
        <f>G8*(1+$B$8)</f>
        <v>131104.17112065642</v>
      </c>
      <c r="I8" s="2">
        <f>H8*(1+$B$8)</f>
        <v>135299.50459651742</v>
      </c>
      <c r="J8" s="2">
        <f>I8*(1+$B$8)</f>
        <v>139629.08874360597</v>
      </c>
      <c r="K8" s="2">
        <f>J8*(1+$B$8)</f>
        <v>144097.21958340137</v>
      </c>
      <c r="L8" s="2">
        <f>K8*(1+$B$8)</f>
        <v>148708.3306100702</v>
      </c>
      <c r="M8" s="2">
        <f>L8*(1+$B$8)</f>
        <v>153466.99718959245</v>
      </c>
      <c r="N8" s="2">
        <f>M8*(1+$B$8)</f>
        <v>158377.94109965942</v>
      </c>
    </row>
    <row r="9" spans="1:14" x14ac:dyDescent="0.4">
      <c r="A9" t="s">
        <v>19</v>
      </c>
      <c r="B9" s="1">
        <v>-1.9E-2</v>
      </c>
      <c r="C9" s="2">
        <v>249000</v>
      </c>
      <c r="D9" s="2">
        <f>C9*(1+$B$9)</f>
        <v>244269</v>
      </c>
      <c r="E9" s="2">
        <f>D9*(1+$B$9)</f>
        <v>239627.889</v>
      </c>
      <c r="F9" s="2">
        <f>E9*(1+$B$9)</f>
        <v>235074.95910899999</v>
      </c>
      <c r="G9" s="2">
        <f>F9*(1+$B$9)</f>
        <v>230608.534885929</v>
      </c>
      <c r="H9" s="2">
        <f>G9*(1+$B$9)</f>
        <v>226226.97272309635</v>
      </c>
      <c r="I9" s="2">
        <f>H9*(1+$B$9)</f>
        <v>221928.66024135752</v>
      </c>
      <c r="J9" s="2">
        <f>I9*(1+$B$9)</f>
        <v>217712.01569677173</v>
      </c>
      <c r="K9" s="2">
        <f>J9*(1+$B$9)</f>
        <v>213575.48739853306</v>
      </c>
      <c r="L9" s="2">
        <f>K9*(1+$B$9)</f>
        <v>209517.55313796093</v>
      </c>
      <c r="M9" s="2">
        <f>L9*(1+$B$9)</f>
        <v>205536.71962833966</v>
      </c>
      <c r="N9" s="2">
        <f>M9*(1+$B$9)</f>
        <v>201631.5219554012</v>
      </c>
    </row>
    <row r="10" spans="1:14" x14ac:dyDescent="0.4">
      <c r="A10" t="s">
        <v>20</v>
      </c>
      <c r="C10" s="2">
        <f>SUM(C5:C9)</f>
        <v>1161000</v>
      </c>
      <c r="D10" s="2">
        <f>SUM(D5:D9)</f>
        <v>1197541</v>
      </c>
      <c r="E10" s="2">
        <f>SUM(E5:E9)</f>
        <v>1236426.497</v>
      </c>
      <c r="F10" s="2">
        <f>SUM(F5:F9)</f>
        <v>1277783.099557</v>
      </c>
      <c r="G10" s="2">
        <f>SUM(G5:G9)</f>
        <v>1321744.9541904412</v>
      </c>
      <c r="H10" s="2">
        <f>SUM(H5:H9)</f>
        <v>1368454.1930769894</v>
      </c>
      <c r="I10" s="2">
        <f>SUM(I5:I9)</f>
        <v>1418061.4089711062</v>
      </c>
      <c r="J10" s="2">
        <f>SUM(J5:J9)</f>
        <v>1470726.1590238654</v>
      </c>
      <c r="K10" s="2">
        <f>SUM(K5:K9)</f>
        <v>1526617.4992762951</v>
      </c>
      <c r="L10" s="2">
        <f>SUM(L5:L9)</f>
        <v>1585914.5517137984</v>
      </c>
      <c r="M10" s="2">
        <f>SUM(M5:M9)</f>
        <v>1648807.1058854219</v>
      </c>
      <c r="N10" s="2">
        <f>SUM(N5:N9)</f>
        <v>1715496.2572162352</v>
      </c>
    </row>
    <row r="11" spans="1:14" x14ac:dyDescent="0.4">
      <c r="A11" t="s">
        <v>21</v>
      </c>
    </row>
    <row r="12" spans="1:14" x14ac:dyDescent="0.4">
      <c r="A12" t="s">
        <v>22</v>
      </c>
      <c r="B12" s="1">
        <v>8.7999999999999995E-2</v>
      </c>
      <c r="C12" s="2">
        <v>131000</v>
      </c>
      <c r="D12" s="2">
        <f>C12*(1+$B$12)</f>
        <v>142528</v>
      </c>
      <c r="E12" s="2">
        <f>D12*(1+$B$12)</f>
        <v>155070.46400000001</v>
      </c>
      <c r="F12" s="2">
        <f>E12*(1+$B$12)</f>
        <v>168716.66483200001</v>
      </c>
      <c r="G12" s="2">
        <f>F12*(1+$B$12)</f>
        <v>183563.73133721601</v>
      </c>
      <c r="H12" s="2">
        <f>G12*(1+$B$12)</f>
        <v>199717.33969489104</v>
      </c>
      <c r="I12" s="2">
        <f>H12*(1+$B$12)</f>
        <v>217292.46558804146</v>
      </c>
      <c r="J12" s="2">
        <f>I12*(1+$B$12)</f>
        <v>236414.20255978912</v>
      </c>
      <c r="K12" s="2">
        <f>J12*(1+$B$12)</f>
        <v>257218.65238505058</v>
      </c>
      <c r="L12" s="2">
        <f>K12*(1+$B$12)</f>
        <v>279853.89379493502</v>
      </c>
      <c r="M12" s="2">
        <f>L12*(1+$B$12)</f>
        <v>304481.03644888935</v>
      </c>
      <c r="N12" s="2">
        <f>M12*(1+$B$12)</f>
        <v>331275.36765639164</v>
      </c>
    </row>
    <row r="13" spans="1:14" x14ac:dyDescent="0.4">
      <c r="A13" t="s">
        <v>23</v>
      </c>
      <c r="B13" s="1">
        <v>8.5999999999999993E-2</v>
      </c>
      <c r="C13" s="2">
        <v>60000</v>
      </c>
      <c r="D13" s="2">
        <f>C13*(1+$B$13)</f>
        <v>65160.000000000007</v>
      </c>
      <c r="E13" s="2">
        <f>D13*(1+$B$13)</f>
        <v>70763.760000000009</v>
      </c>
      <c r="F13" s="2">
        <f>E13*(1+$B$13)</f>
        <v>76849.443360000019</v>
      </c>
      <c r="G13" s="2">
        <f>F13*(1+$B$13)</f>
        <v>83458.495488960034</v>
      </c>
      <c r="H13" s="2">
        <f>G13*(1+$B$13)</f>
        <v>90635.926101010598</v>
      </c>
      <c r="I13" s="2">
        <f>H13*(1+$B$13)</f>
        <v>98430.61574569752</v>
      </c>
      <c r="J13" s="2">
        <f>I13*(1+$B$13)</f>
        <v>106895.64869982751</v>
      </c>
      <c r="K13" s="2">
        <f>J13*(1+$B$13)</f>
        <v>116088.67448801268</v>
      </c>
      <c r="L13" s="2">
        <f>K13*(1+$B$13)</f>
        <v>126072.30049398178</v>
      </c>
      <c r="M13" s="2">
        <f>L13*(1+$B$13)</f>
        <v>136914.51833646421</v>
      </c>
      <c r="N13" s="2">
        <f>M13*(1+$B$13)</f>
        <v>148689.16691340014</v>
      </c>
    </row>
    <row r="14" spans="1:14" x14ac:dyDescent="0.4">
      <c r="A14" t="s">
        <v>24</v>
      </c>
      <c r="B14" s="1">
        <v>6.6000000000000003E-2</v>
      </c>
      <c r="C14" s="2">
        <v>175000</v>
      </c>
      <c r="D14" s="2">
        <f>C14*(1+$B$14)</f>
        <v>186550</v>
      </c>
      <c r="E14" s="2">
        <f>D14*(1+$B$14)</f>
        <v>198862.30000000002</v>
      </c>
      <c r="F14" s="2">
        <f>E14*(1+$B$14)</f>
        <v>211987.21180000002</v>
      </c>
      <c r="G14" s="2">
        <f>F14*(1+$B$14)</f>
        <v>225978.36777880002</v>
      </c>
      <c r="H14" s="2">
        <f>G14*(1+$B$14)</f>
        <v>240892.94005220084</v>
      </c>
      <c r="I14" s="2">
        <f>H14*(1+$B$14)</f>
        <v>256791.87409564611</v>
      </c>
      <c r="J14" s="2">
        <f>I14*(1+$B$14)</f>
        <v>273740.13778595877</v>
      </c>
      <c r="K14" s="2">
        <f>J14*(1+$B$14)</f>
        <v>291806.98687983205</v>
      </c>
      <c r="L14" s="2">
        <f>K14*(1+$B$14)</f>
        <v>311066.248013901</v>
      </c>
      <c r="M14" s="2">
        <f>L14*(1+$B$14)</f>
        <v>331596.62038281851</v>
      </c>
      <c r="N14" s="2">
        <f>M14*(1+$B$14)</f>
        <v>353481.99732808454</v>
      </c>
    </row>
    <row r="15" spans="1:14" x14ac:dyDescent="0.4">
      <c r="A15" t="s">
        <v>25</v>
      </c>
      <c r="B15" s="1">
        <v>8.2000000000000003E-2</v>
      </c>
      <c r="C15" s="2">
        <v>81000</v>
      </c>
      <c r="D15" s="2">
        <f>C15*(1+$B$15)</f>
        <v>87642</v>
      </c>
      <c r="E15" s="2">
        <f>D15*(1+$B$15)</f>
        <v>94828.644</v>
      </c>
      <c r="F15" s="2">
        <f>E15*(1+$B$15)</f>
        <v>102604.592808</v>
      </c>
      <c r="G15" s="2">
        <f>F15*(1+$B$15)</f>
        <v>111018.169418256</v>
      </c>
      <c r="H15" s="2">
        <f>G15*(1+$B$15)</f>
        <v>120121.659310553</v>
      </c>
      <c r="I15" s="2">
        <f>H15*(1+$B$15)</f>
        <v>129971.63537401835</v>
      </c>
      <c r="J15" s="2">
        <f>I15*(1+$B$15)</f>
        <v>140629.30947468788</v>
      </c>
      <c r="K15" s="2">
        <f>J15*(1+$B$15)</f>
        <v>152160.91285161229</v>
      </c>
      <c r="L15" s="2">
        <f>K15*(1+$B$15)</f>
        <v>164638.1077054445</v>
      </c>
      <c r="M15" s="2">
        <f>L15*(1+$B$15)</f>
        <v>178138.43253729097</v>
      </c>
      <c r="N15" s="2">
        <f>M15*(1+$B$15)</f>
        <v>192745.78400534883</v>
      </c>
    </row>
    <row r="16" spans="1:14" x14ac:dyDescent="0.4">
      <c r="A16" t="s">
        <v>26</v>
      </c>
      <c r="B16" s="1">
        <v>2.4E-2</v>
      </c>
      <c r="C16" s="2">
        <v>272000</v>
      </c>
      <c r="D16" s="2">
        <f>C16*(1+$B$16)</f>
        <v>278528</v>
      </c>
      <c r="E16" s="2">
        <f>D16*(1+$B$16)</f>
        <v>285212.67200000002</v>
      </c>
      <c r="F16" s="2">
        <f>E16*(1+$B$16)</f>
        <v>292057.77612800006</v>
      </c>
      <c r="G16" s="2">
        <f>F16*(1+$B$16)</f>
        <v>299067.16275507206</v>
      </c>
      <c r="H16" s="2">
        <f>G16*(1+$B$16)</f>
        <v>306244.77466119378</v>
      </c>
      <c r="I16" s="2">
        <f>H16*(1+$B$16)</f>
        <v>313594.64925306244</v>
      </c>
      <c r="J16" s="2">
        <f>I16*(1+$B$16)</f>
        <v>321120.92083513597</v>
      </c>
      <c r="K16" s="2">
        <f>J16*(1+$B$16)</f>
        <v>328827.82293517923</v>
      </c>
      <c r="L16" s="2">
        <f>K16*(1+$B$16)</f>
        <v>336719.69068562356</v>
      </c>
      <c r="M16" s="2">
        <f>L16*(1+$B$16)</f>
        <v>344800.96326207853</v>
      </c>
      <c r="N16" s="2">
        <f>M16*(1+$B$16)</f>
        <v>353076.18638036842</v>
      </c>
    </row>
    <row r="17" spans="1:14" x14ac:dyDescent="0.4">
      <c r="A17" t="s">
        <v>27</v>
      </c>
      <c r="C17" s="2">
        <f>SUM(C12:C16)</f>
        <v>719000</v>
      </c>
      <c r="D17" s="2">
        <f>SUM(D12:D16)</f>
        <v>760408</v>
      </c>
      <c r="E17" s="2">
        <f>SUM(E12:E16)</f>
        <v>804737.84000000008</v>
      </c>
      <c r="F17" s="2">
        <f>SUM(F12:F16)</f>
        <v>852215.68892800016</v>
      </c>
      <c r="G17" s="2">
        <f>SUM(G12:G16)</f>
        <v>903085.92677830416</v>
      </c>
      <c r="H17" s="2">
        <f>SUM(H12:H16)</f>
        <v>957612.63981984928</v>
      </c>
      <c r="I17" s="2">
        <f>SUM(I12:I16)</f>
        <v>1016081.2400564658</v>
      </c>
      <c r="J17" s="2">
        <f>SUM(J12:J16)</f>
        <v>1078800.2193553993</v>
      </c>
      <c r="K17" s="2">
        <f>SUM(K12:K16)</f>
        <v>1146103.0495396866</v>
      </c>
      <c r="L17" s="2">
        <f>SUM(L12:L16)</f>
        <v>1218350.2406938858</v>
      </c>
      <c r="M17" s="2">
        <f>SUM(M12:M16)</f>
        <v>1295931.5709675415</v>
      </c>
      <c r="N17" s="2">
        <f>SUM(N12:N16)</f>
        <v>1379268.5022835936</v>
      </c>
    </row>
    <row r="19" spans="1:14" x14ac:dyDescent="0.4">
      <c r="A19" t="s">
        <v>28</v>
      </c>
      <c r="C19" s="2">
        <f>SUM(C10,C17)</f>
        <v>1880000</v>
      </c>
      <c r="D19" s="2">
        <f>SUM(D10,D17)</f>
        <v>1957949</v>
      </c>
      <c r="E19" s="2">
        <f>SUM(E10,E17)</f>
        <v>2041164.3370000001</v>
      </c>
      <c r="F19" s="2">
        <f>SUM(F10,F17)</f>
        <v>2129998.7884849999</v>
      </c>
      <c r="G19" s="2">
        <f>SUM(G10,G17)</f>
        <v>2224830.8809687453</v>
      </c>
      <c r="H19" s="2">
        <f>SUM(H10,H17)</f>
        <v>2326066.8328968389</v>
      </c>
      <c r="I19" s="2">
        <f>SUM(I10,I17)</f>
        <v>2434142.649027572</v>
      </c>
      <c r="J19" s="2">
        <f>SUM(J10,J17)</f>
        <v>2549526.3783792648</v>
      </c>
      <c r="K19" s="2">
        <f>SUM(K10,K17)</f>
        <v>2672720.5488159815</v>
      </c>
      <c r="L19" s="2">
        <f>SUM(L10,L17)</f>
        <v>2804264.792407684</v>
      </c>
      <c r="M19" s="2">
        <f>SUM(M10,M17)</f>
        <v>2944738.6768529634</v>
      </c>
      <c r="N19" s="2">
        <f>SUM(N10,N17)</f>
        <v>3094764.7594998288</v>
      </c>
    </row>
    <row r="21" spans="1:14" x14ac:dyDescent="0.4">
      <c r="A21" t="s">
        <v>29</v>
      </c>
      <c r="B21" t="s">
        <v>30</v>
      </c>
    </row>
    <row r="22" spans="1:14" x14ac:dyDescent="0.4">
      <c r="A22" t="s">
        <v>31</v>
      </c>
      <c r="B22">
        <v>0.1</v>
      </c>
    </row>
    <row r="23" spans="1:14" x14ac:dyDescent="0.4">
      <c r="A23" t="s">
        <v>32</v>
      </c>
      <c r="B23">
        <v>0.3</v>
      </c>
    </row>
    <row r="24" spans="1:14" x14ac:dyDescent="0.4">
      <c r="A24" t="s">
        <v>33</v>
      </c>
      <c r="B24">
        <v>0.5</v>
      </c>
    </row>
    <row r="25" spans="1:14" x14ac:dyDescent="0.4">
      <c r="A25" t="s">
        <v>34</v>
      </c>
      <c r="B25">
        <v>0.7</v>
      </c>
    </row>
    <row r="26" spans="1:14" x14ac:dyDescent="0.4">
      <c r="A26" t="s">
        <v>35</v>
      </c>
      <c r="C26" s="2">
        <f>ROUND(C19*VLOOKUP("West",A22:B25,2,FALSE),0)</f>
        <v>1316000</v>
      </c>
    </row>
    <row r="28" spans="1:14" x14ac:dyDescent="0.4">
      <c r="A28" t="s">
        <v>36</v>
      </c>
      <c r="C28" s="2">
        <f>SUM(C19:N19)</f>
        <v>29060167.64433388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2026-09-03T08:10:50Z</dcterms:created>
  <dcterms:modified xsi:type="dcterms:W3CDTF">2026-09-03T08:10:55Z</dcterms:modified>
</cp:coreProperties>
</file>