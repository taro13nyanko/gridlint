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F627DF84-BEE1-4CAB-B322-4FD5252E625C}" xr6:coauthVersionLast="47" xr6:coauthVersionMax="47" xr10:uidLastSave="{00000000-0000-0000-0000-000000000000}"/>
  <bookViews>
    <workbookView xWindow="-120" yWindow="-120" windowWidth="29040" windowHeight="15720" xr2:uid="{236D4086-6832-4C2A-8F45-1FD3ABD016CF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1" l="1"/>
  <c r="C17" i="1"/>
  <c r="H10" i="1"/>
  <c r="G10" i="1"/>
  <c r="F10" i="1"/>
  <c r="E10" i="1"/>
  <c r="D10" i="1"/>
  <c r="C10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</calcChain>
</file>

<file path=xl/sharedStrings.xml><?xml version="1.0" encoding="utf-8"?>
<sst xmlns="http://schemas.openxmlformats.org/spreadsheetml/2006/main" count="22" uniqueCount="22">
  <si>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</si>
  <si>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</si>
  <si>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</si>
  <si>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</si>
  <si>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</si>
  <si>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</si>
  <si>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</si>
  <si>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</si>
  <si>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</si>
  <si>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Sponsorships</t>
  </si>
  <si>
    <t>Insurance</t>
  </si>
  <si>
    <t>Agency fees</t>
  </si>
  <si>
    <t>Contractors</t>
  </si>
  <si>
    <t>Total revenue</t>
  </si>
  <si>
    <t>Region</t>
  </si>
  <si>
    <t>Weight</t>
  </si>
  <si>
    <t>North</t>
  </si>
  <si>
    <t>South</t>
  </si>
  <si>
    <t>East</t>
  </si>
  <si>
    <t>West</t>
  </si>
  <si>
    <t>Weighted first month</t>
  </si>
  <si>
    <t>Full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</si>
</sst>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%"/>
    <numFmt numFmtId="180" formatCode="\$#,##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5EE41-8069-4954-89C9-879310792E2C}">
  <dimension ref="A1:H19"/>
  <sheetViews>
    <sheetView tabSelected="1" workbookViewId="0"/>
  </sheetViews>
  <sheetFormatPr defaultRowHeight="18.75" x14ac:dyDescent="0.4"/>
  <cols>
    <col min="1" max="1" width="28.625" customWidth="1"/>
    <col min="3" max="8" width="10.625" bestFit="1" customWidth="1"/>
  </cols>
  <sheetData>
    <row r="1" spans="1:8" x14ac:dyDescent="0.4">
      <c r="A1" t="s">
        <v>0</v>
      </c>
    </row>
    <row r="3" spans="1:8" x14ac:dyDescent="0.4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</row>
    <row r="5" spans="1:8" x14ac:dyDescent="0.4">
      <c r="A5" t="s">
        <v>8</v>
      </c>
    </row>
    <row r="6" spans="1:8" x14ac:dyDescent="0.4">
      <c r="A6" t="s">
        <v>9</v>
      </c>
      <c r="B6" s="1">
        <v>0.04</v>
      </c>
      <c r="C6" s="2">
        <v>179000</v>
      </c>
      <c r="D6" s="2">
        <f>C6*(1+$B$6)</f>
        <v>186160</v>
      </c>
      <c r="E6" s="2">
        <f>D6*(1+$B$6)</f>
        <v>193606.39999999999</v>
      </c>
      <c r="F6" s="2">
        <f>E6*(1+$B$6)</f>
        <v>201350.65599999999</v>
      </c>
      <c r="G6" s="2">
        <f>F6*(1+$B$6)</f>
        <v>209404.68223999999</v>
      </c>
      <c r="H6" s="2">
        <f>G6*(1+$B$6)</f>
        <v>217780.86952959999</v>
      </c>
    </row>
    <row r="7" spans="1:8" x14ac:dyDescent="0.4">
      <c r="A7" t="s">
        <v>10</v>
      </c>
      <c r="B7" s="1">
        <v>7.5999999999999998E-2</v>
      </c>
      <c r="C7" s="2">
        <v>354000</v>
      </c>
      <c r="D7" s="2">
        <f>C7*(1+$B$7)</f>
        <v>380904</v>
      </c>
      <c r="E7" s="2">
        <f>D7*(1+$B$7)</f>
        <v>409852.70400000003</v>
      </c>
      <c r="F7" s="2">
        <f>E7*(1+$B$7)</f>
        <v>441001.50950400007</v>
      </c>
      <c r="G7" s="2">
        <f>F7*(1+$B$7)</f>
        <v>474517.62422630412</v>
      </c>
      <c r="H7" s="2">
        <f>G7*(1+$B$7)</f>
        <v>510580.96366750327</v>
      </c>
    </row>
    <row r="8" spans="1:8" x14ac:dyDescent="0.4">
      <c r="A8" t="s">
        <v>11</v>
      </c>
      <c r="B8" s="1">
        <v>8.4000000000000005E-2</v>
      </c>
      <c r="C8" s="2">
        <v>263000</v>
      </c>
      <c r="D8" s="2">
        <f>C8*(1+$B$8)</f>
        <v>285092</v>
      </c>
      <c r="E8" s="2">
        <f>D8*(1+$B$8)</f>
        <v>309039.728</v>
      </c>
      <c r="F8" s="2">
        <f>E8*(1+$B$8)</f>
        <v>334999.06515200005</v>
      </c>
      <c r="G8" s="2">
        <f>F8*(1+$B$8)</f>
        <v>363138.98662476806</v>
      </c>
      <c r="H8" s="2">
        <f>G8*(1+$B$8)</f>
        <v>393642.6615012486</v>
      </c>
    </row>
    <row r="9" spans="1:8" x14ac:dyDescent="0.4">
      <c r="A9" t="s">
        <v>12</v>
      </c>
      <c r="B9" s="1">
        <v>1.2E-2</v>
      </c>
      <c r="C9" s="2">
        <v>355000</v>
      </c>
      <c r="D9" s="2">
        <f>C9*(1+$B$9)</f>
        <v>359260</v>
      </c>
      <c r="E9" s="2">
        <f>D9*(1+$B$9)</f>
        <v>363571.12</v>
      </c>
      <c r="F9" s="2">
        <f>E9*(1+$B$9)</f>
        <v>367933.97343999997</v>
      </c>
      <c r="G9" s="2">
        <f>F9*(1+$B$9)</f>
        <v>372349.18112127995</v>
      </c>
      <c r="H9" s="2">
        <f>G9*(1+$B$9)</f>
        <v>376817.37129473529</v>
      </c>
    </row>
    <row r="10" spans="1:8" x14ac:dyDescent="0.4">
      <c r="A10" t="s">
        <v>13</v>
      </c>
      <c r="C10" s="2">
        <f>SUM(C6:C9)</f>
        <v>1151000</v>
      </c>
      <c r="D10" s="2">
        <f>SUM(D6:D9)</f>
        <v>1211416</v>
      </c>
      <c r="E10" s="2">
        <f>SUM(E6:E9)</f>
        <v>1276069.952</v>
      </c>
      <c r="F10" s="2">
        <f>SUM(F6:F9)</f>
        <v>1345285.2040960002</v>
      </c>
      <c r="G10" s="2">
        <f>SUM(G6:G9)</f>
        <v>1419410.4742123522</v>
      </c>
      <c r="H10" s="2">
        <f>SUM(H6:H9)</f>
        <v>1498821.8659930869</v>
      </c>
    </row>
    <row r="12" spans="1:8" x14ac:dyDescent="0.4">
      <c r="A12" t="s">
        <v>14</v>
      </c>
      <c r="B12" t="s">
        <v>15</v>
      </c>
    </row>
    <row r="13" spans="1:8" x14ac:dyDescent="0.4">
      <c r="A13" t="s">
        <v>16</v>
      </c>
      <c r="B13">
        <v>0.1</v>
      </c>
    </row>
    <row r="14" spans="1:8" x14ac:dyDescent="0.4">
      <c r="A14" t="s">
        <v>17</v>
      </c>
      <c r="B14">
        <v>0.3</v>
      </c>
    </row>
    <row r="15" spans="1:8" x14ac:dyDescent="0.4">
      <c r="A15" t="s">
        <v>18</v>
      </c>
      <c r="B15">
        <v>0.5</v>
      </c>
    </row>
    <row r="16" spans="1:8" x14ac:dyDescent="0.4">
      <c r="A16" t="s">
        <v>19</v>
      </c>
      <c r="B16">
        <v>0.7</v>
      </c>
    </row>
    <row r="17" spans="1:3" x14ac:dyDescent="0.4">
      <c r="A17" t="s">
        <v>20</v>
      </c>
      <c r="C17" s="2">
        <f>ROUND(C10*VLOOKUP("South",A13:B16,2,FALSE),0)</f>
        <v>345300</v>
      </c>
    </row>
    <row r="19" spans="1:3" x14ac:dyDescent="0.4">
      <c r="A19" t="s">
        <v>21</v>
      </c>
      <c r="C19" s="2">
        <f>SUM(C10:H10)</f>
        <v>7902003.4963014396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2026-09-03T13:35:45Z</dcterms:created>
  <dcterms:modified xsi:type="dcterms:W3CDTF">2026-09-03T13:35:46Z</dcterms:modified>
</cp:coreProperties>
</file>