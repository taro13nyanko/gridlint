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yank\Desktop\後藤さんのclaude\ai-builders-2026\gridlint\bench\corpus\"/>
    </mc:Choice>
  </mc:AlternateContent>
  <xr:revisionPtr revIDLastSave="0" documentId="8_{F874F4ED-EF5E-4D14-8E14-53CC754B1852}" xr6:coauthVersionLast="47" xr6:coauthVersionMax="47" xr10:uidLastSave="{00000000-0000-0000-0000-000000000000}"/>
  <bookViews>
    <workbookView xWindow="-120" yWindow="-120" windowWidth="29040" windowHeight="15720" xr2:uid="{F5405463-0F72-451B-9A33-4D51FBD01F85}"/>
  </bookViews>
  <sheets>
    <sheet name="Model" sheetId="2" r:id="rId1"/>
    <sheet name="Assumption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3" i="2" l="1"/>
  <c r="C32" i="2"/>
  <c r="C31" i="2"/>
  <c r="E29" i="2"/>
  <c r="D29" i="2"/>
  <c r="C29" i="2"/>
  <c r="E28" i="2"/>
  <c r="D28" i="2"/>
  <c r="C28" i="2"/>
  <c r="E26" i="2"/>
  <c r="D26" i="2"/>
  <c r="C26" i="2"/>
  <c r="E25" i="2"/>
  <c r="D25" i="2"/>
  <c r="E24" i="2"/>
  <c r="D24" i="2"/>
  <c r="E23" i="2"/>
  <c r="D23" i="2"/>
  <c r="E22" i="2"/>
  <c r="D22" i="2"/>
  <c r="E21" i="2"/>
  <c r="D21" i="2"/>
  <c r="E18" i="2"/>
  <c r="D18" i="2"/>
  <c r="C18" i="2"/>
  <c r="E17" i="2"/>
  <c r="D17" i="2"/>
  <c r="E16" i="2"/>
  <c r="D16" i="2"/>
  <c r="E15" i="2"/>
  <c r="D15" i="2"/>
  <c r="E14" i="2"/>
  <c r="D14" i="2"/>
  <c r="E11" i="2"/>
  <c r="D11" i="2"/>
  <c r="C11" i="2"/>
  <c r="E10" i="2"/>
  <c r="D10" i="2"/>
  <c r="E9" i="2"/>
  <c r="D9" i="2"/>
  <c r="E8" i="2"/>
  <c r="D8" i="2"/>
  <c r="E7" i="2"/>
  <c r="D7" i="2"/>
  <c r="E6" i="2"/>
  <c r="D6" i="2"/>
</calcChain>
</file>

<file path=xl/sharedStrings.xml><?xml version="1.0" encoding="utf-8"?>
<sst xmlns="http://schemas.openxmlformats.org/spreadsheetml/2006/main" count="34" uniqueCount="34">
  <si>
    <t>Assumption</t>
  </si>
  <si>
    <t>Value</t>
  </si>
  <si>
    <t>Headcount</t>
  </si>
  <si>
    <t>Cash on hand</t>
  </si>
  <si>
    <t>Plan</t>
  </si>
  <si>
    <t>Growth</t>
  </si>
  <si>
    <t>Jan</t>
  </si>
  <si>
    <t>Feb</t>
  </si>
  <si>
    <t>Mar</t>
  </si>
  <si>
    <t>REVENUE</t>
  </si>
  <si>
    <t>Contractors</t>
  </si>
  <si>
    <t>Cloud hosting</t>
  </si>
  <si>
    <t>Licences</t>
  </si>
  <si>
    <t>Travel</t>
  </si>
  <si>
    <t>Software tools</t>
  </si>
  <si>
    <t>Total revenue</t>
  </si>
  <si>
    <t>COST OF SALES</t>
  </si>
  <si>
    <t>Support</t>
  </si>
  <si>
    <t>Sponsorships</t>
  </si>
  <si>
    <t>Services</t>
  </si>
  <si>
    <t>Advertising</t>
  </si>
  <si>
    <t>Total cost of sales</t>
  </si>
  <si>
    <t>OPERATING COSTS</t>
  </si>
  <si>
    <t>Subscriptions</t>
  </si>
  <si>
    <t>Agency fees</t>
  </si>
  <si>
    <t>Content</t>
  </si>
  <si>
    <t>Events</t>
  </si>
  <si>
    <t>Training</t>
  </si>
  <si>
    <t>Total operating costs</t>
  </si>
  <si>
    <t>Grand total</t>
  </si>
  <si>
    <t>Share of first month</t>
  </si>
  <si>
    <t>Full year</t>
  </si>
  <si>
    <t>Per head</t>
  </si>
  <si>
    <t>Months of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</si>
</sst>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9" formatCode="\$#,##0"/>
    <numFmt numFmtId="180" formatCode="0.0%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C0DB6-0C2A-4370-9DFD-42431DB41283}">
  <dimension ref="A1:E33"/>
  <sheetViews>
    <sheetView tabSelected="1" workbookViewId="0"/>
  </sheetViews>
  <sheetFormatPr defaultRowHeight="18.75" x14ac:dyDescent="0.4"/>
  <cols>
    <col min="1" max="1" width="28.625" customWidth="1"/>
    <col min="3" max="3" width="11.75" bestFit="1" customWidth="1"/>
    <col min="4" max="5" width="10.625" bestFit="1" customWidth="1"/>
  </cols>
  <sheetData>
    <row r="1" spans="1:5" x14ac:dyDescent="0.4">
      <c r="A1" t="s">
        <v>4</v>
      </c>
    </row>
    <row r="3" spans="1:5" x14ac:dyDescent="0.4">
      <c r="B3" t="s">
        <v>5</v>
      </c>
      <c r="C3" t="s">
        <v>6</v>
      </c>
      <c r="D3" t="s">
        <v>7</v>
      </c>
      <c r="E3" t="s">
        <v>8</v>
      </c>
    </row>
    <row r="5" spans="1:5" x14ac:dyDescent="0.4">
      <c r="A5" t="s">
        <v>9</v>
      </c>
    </row>
    <row r="6" spans="1:5" x14ac:dyDescent="0.4">
      <c r="A6" t="s">
        <v>10</v>
      </c>
      <c r="B6" s="2">
        <v>7.3999999999999996E-2</v>
      </c>
      <c r="C6" s="1">
        <v>169000</v>
      </c>
      <c r="D6" s="1">
        <f>C6*(1+$B$6)</f>
        <v>181506</v>
      </c>
      <c r="E6" s="1">
        <f>D6*(1+$B$6)</f>
        <v>194937.44400000002</v>
      </c>
    </row>
    <row r="7" spans="1:5" x14ac:dyDescent="0.4">
      <c r="A7" t="s">
        <v>11</v>
      </c>
      <c r="B7" s="2">
        <v>3.7999999999999999E-2</v>
      </c>
      <c r="C7" s="1">
        <v>47000</v>
      </c>
      <c r="D7" s="1">
        <f>C7*(1+$B$7)</f>
        <v>48786</v>
      </c>
      <c r="E7" s="1">
        <f>D7*(1+$B$7)</f>
        <v>50639.868000000002</v>
      </c>
    </row>
    <row r="8" spans="1:5" x14ac:dyDescent="0.4">
      <c r="A8" t="s">
        <v>12</v>
      </c>
      <c r="B8" s="2">
        <v>8.4000000000000005E-2</v>
      </c>
      <c r="C8" s="1">
        <v>260000</v>
      </c>
      <c r="D8" s="1">
        <f>C8*(1+$B$8)</f>
        <v>281840</v>
      </c>
      <c r="E8" s="1">
        <f>D8*(1+$B$8)</f>
        <v>305514.56</v>
      </c>
    </row>
    <row r="9" spans="1:5" x14ac:dyDescent="0.4">
      <c r="A9" t="s">
        <v>13</v>
      </c>
      <c r="B9" s="2">
        <v>-0.02</v>
      </c>
      <c r="C9" s="1">
        <v>247000</v>
      </c>
      <c r="D9" s="1">
        <f>C9*(1+$B$9)</f>
        <v>242060</v>
      </c>
      <c r="E9" s="1">
        <f>D9*(1+$B$9)</f>
        <v>237218.8</v>
      </c>
    </row>
    <row r="10" spans="1:5" x14ac:dyDescent="0.4">
      <c r="A10" t="s">
        <v>14</v>
      </c>
      <c r="B10" s="2">
        <v>8.6999999999999994E-2</v>
      </c>
      <c r="C10" s="1">
        <v>151000</v>
      </c>
      <c r="D10" s="1">
        <f>C10*(1+$B$10)</f>
        <v>164137</v>
      </c>
      <c r="E10" s="1">
        <f>D10*(1+$B$10)</f>
        <v>178416.91899999999</v>
      </c>
    </row>
    <row r="11" spans="1:5" x14ac:dyDescent="0.4">
      <c r="A11" t="s">
        <v>15</v>
      </c>
      <c r="C11" s="1">
        <f>SUM(C6:C10)</f>
        <v>874000</v>
      </c>
      <c r="D11" s="1">
        <f>SUM(D6:D10)</f>
        <v>918329</v>
      </c>
      <c r="E11" s="1">
        <f>SUM(E6:E10)</f>
        <v>966727.59100000001</v>
      </c>
    </row>
    <row r="13" spans="1:5" x14ac:dyDescent="0.4">
      <c r="A13" t="s">
        <v>16</v>
      </c>
    </row>
    <row r="14" spans="1:5" x14ac:dyDescent="0.4">
      <c r="A14" t="s">
        <v>17</v>
      </c>
      <c r="B14" s="2">
        <v>8.7999999999999995E-2</v>
      </c>
      <c r="C14" s="1">
        <v>354000</v>
      </c>
      <c r="D14" s="1">
        <f>C14*(1+$B$14)</f>
        <v>385152</v>
      </c>
      <c r="E14" s="1">
        <f>D14*(1+$B$14)</f>
        <v>419045.37600000005</v>
      </c>
    </row>
    <row r="15" spans="1:5" x14ac:dyDescent="0.4">
      <c r="A15" t="s">
        <v>18</v>
      </c>
      <c r="B15" s="2">
        <v>4.9000000000000002E-2</v>
      </c>
      <c r="C15" s="1">
        <v>310000</v>
      </c>
      <c r="D15" s="1">
        <f>C15*(1+$B$15)</f>
        <v>325190</v>
      </c>
      <c r="E15" s="1">
        <f>D15*(1+$B$15)</f>
        <v>341124.31</v>
      </c>
    </row>
    <row r="16" spans="1:5" x14ac:dyDescent="0.4">
      <c r="A16" t="s">
        <v>19</v>
      </c>
      <c r="B16" s="2">
        <v>4.2000000000000003E-2</v>
      </c>
      <c r="C16" s="1">
        <v>247000</v>
      </c>
      <c r="D16" s="1">
        <f>C16*(1+$B$16)</f>
        <v>257374</v>
      </c>
      <c r="E16" s="1">
        <f>D16*(1+$B$16)</f>
        <v>268183.70799999998</v>
      </c>
    </row>
    <row r="17" spans="1:5" x14ac:dyDescent="0.4">
      <c r="A17" t="s">
        <v>20</v>
      </c>
      <c r="B17" s="2">
        <v>0.05</v>
      </c>
      <c r="C17" s="1">
        <v>221000</v>
      </c>
      <c r="D17" s="1">
        <f>C17*(1+$B$17)</f>
        <v>232050</v>
      </c>
      <c r="E17" s="1">
        <f>D17*(1+$B$17)</f>
        <v>243652.5</v>
      </c>
    </row>
    <row r="18" spans="1:5" x14ac:dyDescent="0.4">
      <c r="A18" t="s">
        <v>21</v>
      </c>
      <c r="C18" s="1">
        <f>SUM(C14:C17)</f>
        <v>1132000</v>
      </c>
      <c r="D18" s="1">
        <f>SUM(D14:D17)</f>
        <v>1199766</v>
      </c>
      <c r="E18" s="1">
        <f>SUM(E14:E17)</f>
        <v>1272005.8939999999</v>
      </c>
    </row>
    <row r="20" spans="1:5" x14ac:dyDescent="0.4">
      <c r="A20" t="s">
        <v>22</v>
      </c>
    </row>
    <row r="21" spans="1:5" x14ac:dyDescent="0.4">
      <c r="A21" t="s">
        <v>23</v>
      </c>
      <c r="B21" s="2">
        <v>6.0000000000000001E-3</v>
      </c>
      <c r="C21" s="1">
        <v>301000</v>
      </c>
      <c r="D21" s="1">
        <f>C21*(1+$B$21)</f>
        <v>302806</v>
      </c>
      <c r="E21" s="1">
        <f>D21*(1+$B$21)</f>
        <v>304622.83600000001</v>
      </c>
    </row>
    <row r="22" spans="1:5" x14ac:dyDescent="0.4">
      <c r="A22" t="s">
        <v>24</v>
      </c>
      <c r="B22" s="2">
        <v>-2E-3</v>
      </c>
      <c r="C22" s="1">
        <v>345000</v>
      </c>
      <c r="D22" s="1">
        <f>C22*(1+$B$22)</f>
        <v>344310</v>
      </c>
      <c r="E22" s="1">
        <f>D22*(1+$B$22)</f>
        <v>343621.38</v>
      </c>
    </row>
    <row r="23" spans="1:5" x14ac:dyDescent="0.4">
      <c r="A23" t="s">
        <v>25</v>
      </c>
      <c r="B23" s="2">
        <v>2.9000000000000001E-2</v>
      </c>
      <c r="C23" s="1">
        <v>122000</v>
      </c>
      <c r="D23" s="1">
        <f>C23*(1+$B$23)</f>
        <v>125537.99999999999</v>
      </c>
      <c r="E23" s="1">
        <f>D23*(1+$B$23)</f>
        <v>129178.60199999997</v>
      </c>
    </row>
    <row r="24" spans="1:5" x14ac:dyDescent="0.4">
      <c r="A24" t="s">
        <v>26</v>
      </c>
      <c r="B24" s="2">
        <v>0.02</v>
      </c>
      <c r="C24" s="1">
        <v>379000</v>
      </c>
      <c r="D24" s="1">
        <f>C24*(1+$B$24)</f>
        <v>386580</v>
      </c>
      <c r="E24" s="1">
        <f>D24*(1+$B$24)</f>
        <v>394311.60000000003</v>
      </c>
    </row>
    <row r="25" spans="1:5" x14ac:dyDescent="0.4">
      <c r="A25" t="s">
        <v>27</v>
      </c>
      <c r="B25" s="2">
        <v>6.6000000000000003E-2</v>
      </c>
      <c r="C25" s="1">
        <v>199000</v>
      </c>
      <c r="D25" s="1">
        <f>C25*(1+$B$25)</f>
        <v>212134</v>
      </c>
      <c r="E25" s="1">
        <f>D25*(1+$B$25)</f>
        <v>226134.84400000001</v>
      </c>
    </row>
    <row r="26" spans="1:5" x14ac:dyDescent="0.4">
      <c r="A26" t="s">
        <v>28</v>
      </c>
      <c r="C26" s="1">
        <f>SUM(C21:C25)</f>
        <v>1346000</v>
      </c>
      <c r="D26" s="1">
        <f>SUM(D21:D25)</f>
        <v>1371368</v>
      </c>
      <c r="E26" s="1">
        <f>SUM(E21:E25)</f>
        <v>1397869.2620000001</v>
      </c>
    </row>
    <row r="28" spans="1:5" x14ac:dyDescent="0.4">
      <c r="A28" t="s">
        <v>29</v>
      </c>
      <c r="C28" s="1">
        <f>SUM(C11,C18,C26)</f>
        <v>3352000</v>
      </c>
      <c r="D28" s="1">
        <f>SUM(D11,D18,D26)</f>
        <v>3489463</v>
      </c>
      <c r="E28" s="1">
        <f>SUM(E11,E18,E26)</f>
        <v>3636602.747</v>
      </c>
    </row>
    <row r="29" spans="1:5" x14ac:dyDescent="0.4">
      <c r="A29" t="s">
        <v>30</v>
      </c>
      <c r="C29" s="2">
        <f>C28/$C$28</f>
        <v>1</v>
      </c>
      <c r="D29" s="2">
        <f>D28/$C$28</f>
        <v>1.0410092482100239</v>
      </c>
      <c r="E29" s="2">
        <f>E28/$C$28</f>
        <v>1.0849053541169451</v>
      </c>
    </row>
    <row r="31" spans="1:5" x14ac:dyDescent="0.4">
      <c r="A31" t="s">
        <v>31</v>
      </c>
      <c r="C31" s="1">
        <f>SUM(C28:E28)</f>
        <v>10478065.747</v>
      </c>
    </row>
    <row r="32" spans="1:5" x14ac:dyDescent="0.4">
      <c r="A32" t="s">
        <v>32</v>
      </c>
      <c r="C32" s="1">
        <f>ROUND(C31/Assumptions!B2,0)</f>
        <v>105839</v>
      </c>
    </row>
    <row r="33" spans="1:3" x14ac:dyDescent="0.4">
      <c r="A33" t="s">
        <v>33</v>
      </c>
      <c r="C33">
        <f>ROUND(Assumptions!B3/AVERAGE(C28:E28),1)</f>
        <v>1.1000000000000001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A0E2C-E5D1-4ACC-A5D4-8105DF273821}">
  <dimension ref="A1:B3"/>
  <sheetViews>
    <sheetView workbookViewId="0"/>
  </sheetViews>
  <sheetFormatPr defaultRowHeight="18.75" x14ac:dyDescent="0.4"/>
  <cols>
    <col min="2" max="2" width="10.62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>
        <v>99</v>
      </c>
    </row>
    <row r="3" spans="1:2" x14ac:dyDescent="0.4">
      <c r="A3" t="s">
        <v>3</v>
      </c>
      <c r="B3" s="1">
        <v>3700000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Model</vt:lpstr>
      <vt:lpstr>Assumptions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太田　悠介</dc:creator>
  <cp:lastModifiedBy>太田　悠介</cp:lastModifiedBy>
  <dcterms:created xsi:type="dcterms:W3CDTF">2026-09-03T08:11:00Z</dcterms:created>
  <dcterms:modified xsi:type="dcterms:W3CDTF">2026-09-03T08:11:02Z</dcterms:modified>
</cp:coreProperties>
</file>