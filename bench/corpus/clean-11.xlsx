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yank\Desktop\後藤さんのclaude\ai-builders-2026\gridlint\bench\corpus\"/>
    </mc:Choice>
  </mc:AlternateContent>
  <xr:revisionPtr revIDLastSave="0" documentId="8_{60D9C873-D3DF-4878-A8D8-5BAEED9AFF3F}" xr6:coauthVersionLast="47" xr6:coauthVersionMax="47" xr10:uidLastSave="{00000000-0000-0000-0000-000000000000}"/>
  <bookViews>
    <workbookView xWindow="-120" yWindow="-120" windowWidth="29040" windowHeight="15720" xr2:uid="{35056BA2-5A84-4BF4-995C-FABD9F9C5E2F}"/>
  </bookViews>
  <sheets>
    <sheet name="Model" sheetId="2" r:id="rId1"/>
    <sheet name="Assumption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9" i="2" l="1"/>
  <c r="C38" i="2"/>
  <c r="C37" i="2"/>
  <c r="C35" i="2"/>
  <c r="E28" i="2"/>
  <c r="D28" i="2"/>
  <c r="C28" i="2"/>
  <c r="E26" i="2"/>
  <c r="D26" i="2"/>
  <c r="C26" i="2"/>
  <c r="E25" i="2"/>
  <c r="D25" i="2"/>
  <c r="E24" i="2"/>
  <c r="D24" i="2"/>
  <c r="E23" i="2"/>
  <c r="D23" i="2"/>
  <c r="E22" i="2"/>
  <c r="D22" i="2"/>
  <c r="E21" i="2"/>
  <c r="D21" i="2"/>
  <c r="E18" i="2"/>
  <c r="D18" i="2"/>
  <c r="C18" i="2"/>
  <c r="E17" i="2"/>
  <c r="D17" i="2"/>
  <c r="E16" i="2"/>
  <c r="D16" i="2"/>
  <c r="E15" i="2"/>
  <c r="D15" i="2"/>
  <c r="E14" i="2"/>
  <c r="D14" i="2"/>
  <c r="E13" i="2"/>
  <c r="D13" i="2"/>
  <c r="E10" i="2"/>
  <c r="D10" i="2"/>
  <c r="C10" i="2"/>
  <c r="E9" i="2"/>
  <c r="D9" i="2"/>
  <c r="E8" i="2"/>
  <c r="D8" i="2"/>
  <c r="E7" i="2"/>
  <c r="D7" i="2"/>
  <c r="E6" i="2"/>
  <c r="D6" i="2"/>
</calcChain>
</file>

<file path=xl/sharedStrings.xml><?xml version="1.0" encoding="utf-8"?>
<sst xmlns="http://schemas.openxmlformats.org/spreadsheetml/2006/main" count="40" uniqueCount="40">
  <si>
    <t>Assumption</t>
  </si>
  <si>
    <t>Value</t>
  </si>
  <si>
    <t>Headcount</t>
  </si>
  <si>
    <t>Cash on hand</t>
  </si>
  <si>
    <t>Plan</t>
  </si>
  <si>
    <t>Growth</t>
  </si>
  <si>
    <t>Jan</t>
  </si>
  <si>
    <t>Feb</t>
  </si>
  <si>
    <t>Mar</t>
  </si>
  <si>
    <t>REVENUE</t>
  </si>
  <si>
    <t>Travel</t>
  </si>
  <si>
    <t>Cloud hosting</t>
  </si>
  <si>
    <t>Recruiting</t>
  </si>
  <si>
    <t>Contractors</t>
  </si>
  <si>
    <t>Total revenue</t>
  </si>
  <si>
    <t>COST OF SALES</t>
  </si>
  <si>
    <t>Insurance</t>
  </si>
  <si>
    <t>Licences</t>
  </si>
  <si>
    <t>Office rent</t>
  </si>
  <si>
    <t>Software tools</t>
  </si>
  <si>
    <t>Subscriptions</t>
  </si>
  <si>
    <t>Total cost of sales</t>
  </si>
  <si>
    <t>OPERATING COSTS</t>
  </si>
  <si>
    <t>Data vendors</t>
  </si>
  <si>
    <t>Benefits</t>
  </si>
  <si>
    <t>Advertising</t>
  </si>
  <si>
    <t>Services</t>
  </si>
  <si>
    <t>Sponsorships</t>
  </si>
  <si>
    <t>Total operating costs</t>
  </si>
  <si>
    <t>Grand total</t>
  </si>
  <si>
    <t>Region</t>
  </si>
  <si>
    <t>Weight</t>
  </si>
  <si>
    <t>North</t>
  </si>
  <si>
    <t>South</t>
  </si>
  <si>
    <t>East</t>
  </si>
  <si>
    <t>West</t>
  </si>
  <si>
    <t>Weighted first month</t>
  </si>
  <si>
    <t>Full year</t>
  </si>
  <si>
    <t>Per head</t>
  </si>
  <si>
    <t>Months of cash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</si>
</sst>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9" formatCode="\$#,##0"/>
    <numFmt numFmtId="180" formatCode="0.0%"/>
  </numFmts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79" fontId="0" fillId="0" borderId="0" xfId="0" applyNumberFormat="1">
      <alignment vertical="center"/>
    </xf>
    <xf numFmtId="180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D9192-D13B-4287-8D3B-F649B5528E14}">
  <dimension ref="A1:E39"/>
  <sheetViews>
    <sheetView tabSelected="1" workbookViewId="0"/>
  </sheetViews>
  <sheetFormatPr defaultRowHeight="18.75" x14ac:dyDescent="0.4"/>
  <cols>
    <col min="1" max="1" width="28.625" customWidth="1"/>
    <col min="3" max="3" width="11.75" bestFit="1" customWidth="1"/>
    <col min="4" max="5" width="10.625" bestFit="1" customWidth="1"/>
  </cols>
  <sheetData>
    <row r="1" spans="1:5" x14ac:dyDescent="0.4">
      <c r="A1" t="s">
        <v>4</v>
      </c>
    </row>
    <row r="3" spans="1:5" x14ac:dyDescent="0.4">
      <c r="B3" t="s">
        <v>5</v>
      </c>
      <c r="C3" t="s">
        <v>6</v>
      </c>
      <c r="D3" t="s">
        <v>7</v>
      </c>
      <c r="E3" t="s">
        <v>8</v>
      </c>
    </row>
    <row r="5" spans="1:5" x14ac:dyDescent="0.4">
      <c r="A5" t="s">
        <v>9</v>
      </c>
    </row>
    <row r="6" spans="1:5" x14ac:dyDescent="0.4">
      <c r="A6" t="s">
        <v>10</v>
      </c>
      <c r="B6" s="2">
        <v>6.9000000000000006E-2</v>
      </c>
      <c r="C6" s="1">
        <v>54000</v>
      </c>
      <c r="D6" s="1">
        <f>C6*(1+$B$6)</f>
        <v>57726</v>
      </c>
      <c r="E6" s="1">
        <f>D6*(1+$B$6)</f>
        <v>61709.093999999997</v>
      </c>
    </row>
    <row r="7" spans="1:5" x14ac:dyDescent="0.4">
      <c r="A7" t="s">
        <v>11</v>
      </c>
      <c r="B7" s="2">
        <v>4.4999999999999998E-2</v>
      </c>
      <c r="C7" s="1">
        <v>351000</v>
      </c>
      <c r="D7" s="1">
        <f>C7*(1+$B$7)</f>
        <v>366795</v>
      </c>
      <c r="E7" s="1">
        <f>D7*(1+$B$7)</f>
        <v>383300.77499999997</v>
      </c>
    </row>
    <row r="8" spans="1:5" x14ac:dyDescent="0.4">
      <c r="A8" t="s">
        <v>12</v>
      </c>
      <c r="B8" s="2">
        <v>6.6000000000000003E-2</v>
      </c>
      <c r="C8" s="1">
        <v>289000</v>
      </c>
      <c r="D8" s="1">
        <f>C8*(1+$B$8)</f>
        <v>308074</v>
      </c>
      <c r="E8" s="1">
        <f>D8*(1+$B$8)</f>
        <v>328406.88400000002</v>
      </c>
    </row>
    <row r="9" spans="1:5" x14ac:dyDescent="0.4">
      <c r="A9" t="s">
        <v>13</v>
      </c>
      <c r="B9" s="2">
        <v>-7.0000000000000001E-3</v>
      </c>
      <c r="C9" s="1">
        <v>98000</v>
      </c>
      <c r="D9" s="1">
        <f>C9*(1+$B$9)</f>
        <v>97314</v>
      </c>
      <c r="E9" s="1">
        <f>D9*(1+$B$9)</f>
        <v>96632.801999999996</v>
      </c>
    </row>
    <row r="10" spans="1:5" x14ac:dyDescent="0.4">
      <c r="A10" t="s">
        <v>14</v>
      </c>
      <c r="C10" s="1">
        <f>SUM(C6:C9)</f>
        <v>792000</v>
      </c>
      <c r="D10" s="1">
        <f>SUM(D6:D9)</f>
        <v>829909</v>
      </c>
      <c r="E10" s="1">
        <f>SUM(E6:E9)</f>
        <v>870049.55500000005</v>
      </c>
    </row>
    <row r="12" spans="1:5" x14ac:dyDescent="0.4">
      <c r="A12" t="s">
        <v>15</v>
      </c>
    </row>
    <row r="13" spans="1:5" x14ac:dyDescent="0.4">
      <c r="A13" t="s">
        <v>16</v>
      </c>
      <c r="B13" s="2">
        <v>1E-3</v>
      </c>
      <c r="C13" s="1">
        <v>384000</v>
      </c>
      <c r="D13" s="1">
        <f>C13*(1+$B$13)</f>
        <v>384383.99999999994</v>
      </c>
      <c r="E13" s="1">
        <f>D13*(1+$B$13)</f>
        <v>384768.3839999999</v>
      </c>
    </row>
    <row r="14" spans="1:5" x14ac:dyDescent="0.4">
      <c r="A14" t="s">
        <v>17</v>
      </c>
      <c r="B14" s="2">
        <v>8.8999999999999996E-2</v>
      </c>
      <c r="C14" s="1">
        <v>396000</v>
      </c>
      <c r="D14" s="1">
        <f>C14*(1+$B$14)</f>
        <v>431244</v>
      </c>
      <c r="E14" s="1">
        <f>D14*(1+$B$14)</f>
        <v>469624.71600000001</v>
      </c>
    </row>
    <row r="15" spans="1:5" x14ac:dyDescent="0.4">
      <c r="A15" t="s">
        <v>18</v>
      </c>
      <c r="B15" s="2">
        <v>7.2999999999999995E-2</v>
      </c>
      <c r="C15" s="1">
        <v>344000</v>
      </c>
      <c r="D15" s="1">
        <f>C15*(1+$B$15)</f>
        <v>369112</v>
      </c>
      <c r="E15" s="1">
        <f>D15*(1+$B$15)</f>
        <v>396057.17599999998</v>
      </c>
    </row>
    <row r="16" spans="1:5" x14ac:dyDescent="0.4">
      <c r="A16" t="s">
        <v>19</v>
      </c>
      <c r="B16" s="2">
        <v>-1.7999999999999999E-2</v>
      </c>
      <c r="C16" s="1">
        <v>67000</v>
      </c>
      <c r="D16" s="1">
        <f>C16*(1+$B$16)</f>
        <v>65794</v>
      </c>
      <c r="E16" s="1">
        <f>D16*(1+$B$16)</f>
        <v>64609.707999999999</v>
      </c>
    </row>
    <row r="17" spans="1:5" x14ac:dyDescent="0.4">
      <c r="A17" t="s">
        <v>20</v>
      </c>
      <c r="B17" s="2">
        <v>4.2999999999999997E-2</v>
      </c>
      <c r="C17" s="1">
        <v>384000</v>
      </c>
      <c r="D17" s="1">
        <f>C17*(1+$B$17)</f>
        <v>400512</v>
      </c>
      <c r="E17" s="1">
        <f>D17*(1+$B$17)</f>
        <v>417734.01599999995</v>
      </c>
    </row>
    <row r="18" spans="1:5" x14ac:dyDescent="0.4">
      <c r="A18" t="s">
        <v>21</v>
      </c>
      <c r="C18" s="1">
        <f>SUM(C13:C17)</f>
        <v>1575000</v>
      </c>
      <c r="D18" s="1">
        <f>SUM(D13:D17)</f>
        <v>1651046</v>
      </c>
      <c r="E18" s="1">
        <f>SUM(E13:E17)</f>
        <v>1732794</v>
      </c>
    </row>
    <row r="20" spans="1:5" x14ac:dyDescent="0.4">
      <c r="A20" t="s">
        <v>22</v>
      </c>
    </row>
    <row r="21" spans="1:5" x14ac:dyDescent="0.4">
      <c r="A21" t="s">
        <v>23</v>
      </c>
      <c r="B21" s="2">
        <v>4.9000000000000002E-2</v>
      </c>
      <c r="C21" s="1">
        <v>342000</v>
      </c>
      <c r="D21" s="1">
        <f>C21*(1+$B$21)</f>
        <v>358758</v>
      </c>
      <c r="E21" s="1">
        <f>D21*(1+$B$21)</f>
        <v>376337.14199999999</v>
      </c>
    </row>
    <row r="22" spans="1:5" x14ac:dyDescent="0.4">
      <c r="A22" t="s">
        <v>24</v>
      </c>
      <c r="B22" s="2">
        <v>7.9000000000000001E-2</v>
      </c>
      <c r="C22" s="1">
        <v>35000</v>
      </c>
      <c r="D22" s="1">
        <f>C22*(1+$B$22)</f>
        <v>37765</v>
      </c>
      <c r="E22" s="1">
        <f>D22*(1+$B$22)</f>
        <v>40748.434999999998</v>
      </c>
    </row>
    <row r="23" spans="1:5" x14ac:dyDescent="0.4">
      <c r="A23" t="s">
        <v>25</v>
      </c>
      <c r="B23" s="2">
        <v>1.7999999999999999E-2</v>
      </c>
      <c r="C23" s="1">
        <v>314000</v>
      </c>
      <c r="D23" s="1">
        <f>C23*(1+$B$23)</f>
        <v>319652</v>
      </c>
      <c r="E23" s="1">
        <f>D23*(1+$B$23)</f>
        <v>325405.73600000003</v>
      </c>
    </row>
    <row r="24" spans="1:5" x14ac:dyDescent="0.4">
      <c r="A24" t="s">
        <v>26</v>
      </c>
      <c r="B24" s="2">
        <v>3.1E-2</v>
      </c>
      <c r="C24" s="1">
        <v>395000</v>
      </c>
      <c r="D24" s="1">
        <f>C24*(1+$B$24)</f>
        <v>407244.99999999994</v>
      </c>
      <c r="E24" s="1">
        <f>D24*(1+$B$24)</f>
        <v>419869.59499999991</v>
      </c>
    </row>
    <row r="25" spans="1:5" x14ac:dyDescent="0.4">
      <c r="A25" t="s">
        <v>27</v>
      </c>
      <c r="B25" s="2">
        <v>-1.4999999999999999E-2</v>
      </c>
      <c r="C25" s="1">
        <v>388000</v>
      </c>
      <c r="D25" s="1">
        <f>C25*(1+$B$25)</f>
        <v>382180</v>
      </c>
      <c r="E25" s="1">
        <f>D25*(1+$B$25)</f>
        <v>376447.3</v>
      </c>
    </row>
    <row r="26" spans="1:5" x14ac:dyDescent="0.4">
      <c r="A26" t="s">
        <v>28</v>
      </c>
      <c r="C26" s="1">
        <f>SUM(C21:C25)</f>
        <v>1474000</v>
      </c>
      <c r="D26" s="1">
        <f>SUM(D21:D25)</f>
        <v>1505600</v>
      </c>
      <c r="E26" s="1">
        <f>SUM(E21:E25)</f>
        <v>1538808.2080000001</v>
      </c>
    </row>
    <row r="28" spans="1:5" x14ac:dyDescent="0.4">
      <c r="A28" t="s">
        <v>29</v>
      </c>
      <c r="C28" s="1">
        <f>SUM(C10,C18,C26)</f>
        <v>3841000</v>
      </c>
      <c r="D28" s="1">
        <f>SUM(D10,D18,D26)</f>
        <v>3986555</v>
      </c>
      <c r="E28" s="1">
        <f>SUM(E10,E18,E26)</f>
        <v>4141651.7630000003</v>
      </c>
    </row>
    <row r="30" spans="1:5" x14ac:dyDescent="0.4">
      <c r="A30" t="s">
        <v>30</v>
      </c>
      <c r="B30" t="s">
        <v>31</v>
      </c>
    </row>
    <row r="31" spans="1:5" x14ac:dyDescent="0.4">
      <c r="A31" t="s">
        <v>32</v>
      </c>
      <c r="B31">
        <v>0.1</v>
      </c>
    </row>
    <row r="32" spans="1:5" x14ac:dyDescent="0.4">
      <c r="A32" t="s">
        <v>33</v>
      </c>
      <c r="B32">
        <v>0.3</v>
      </c>
    </row>
    <row r="33" spans="1:3" x14ac:dyDescent="0.4">
      <c r="A33" t="s">
        <v>34</v>
      </c>
      <c r="B33">
        <v>0.5</v>
      </c>
    </row>
    <row r="34" spans="1:3" x14ac:dyDescent="0.4">
      <c r="A34" t="s">
        <v>35</v>
      </c>
      <c r="B34">
        <v>0.7</v>
      </c>
    </row>
    <row r="35" spans="1:3" x14ac:dyDescent="0.4">
      <c r="A35" t="s">
        <v>36</v>
      </c>
      <c r="C35" s="1">
        <f>ROUND(C28*VLOOKUP("East",A31:B34,2,FALSE),0)</f>
        <v>1920500</v>
      </c>
    </row>
    <row r="37" spans="1:3" x14ac:dyDescent="0.4">
      <c r="A37" t="s">
        <v>37</v>
      </c>
      <c r="C37" s="1">
        <f>SUM(C28:E28)</f>
        <v>11969206.763</v>
      </c>
    </row>
    <row r="38" spans="1:3" x14ac:dyDescent="0.4">
      <c r="A38" t="s">
        <v>38</v>
      </c>
      <c r="C38" s="1">
        <f>ROUND(C37/Assumptions!B2,0)</f>
        <v>196217</v>
      </c>
    </row>
    <row r="39" spans="1:3" x14ac:dyDescent="0.4">
      <c r="A39" t="s">
        <v>39</v>
      </c>
      <c r="C39">
        <f>ROUND(Assumptions!B3/AVERAGE(C28:E28),1)</f>
        <v>0.1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A2CBB-8EEC-4D28-9A35-81BBC0FCDBEA}">
  <dimension ref="A1:B3"/>
  <sheetViews>
    <sheetView workbookViewId="0"/>
  </sheetViews>
  <sheetFormatPr defaultRowHeight="18.75" x14ac:dyDescent="0.4"/>
  <sheetData>
    <row r="1" spans="1:2" x14ac:dyDescent="0.4">
      <c r="A1" t="s">
        <v>0</v>
      </c>
      <c r="B1" t="s">
        <v>1</v>
      </c>
    </row>
    <row r="2" spans="1:2" x14ac:dyDescent="0.4">
      <c r="A2" t="s">
        <v>2</v>
      </c>
      <c r="B2">
        <v>61</v>
      </c>
    </row>
    <row r="3" spans="1:2" x14ac:dyDescent="0.4">
      <c r="A3" t="s">
        <v>3</v>
      </c>
      <c r="B3" s="1">
        <v>500000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Model</vt:lpstr>
      <vt:lpstr>Assumptions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太田　悠介</dc:creator>
  <cp:lastModifiedBy>太田　悠介</cp:lastModifiedBy>
  <dcterms:created xsi:type="dcterms:W3CDTF">2026-09-03T13:35:53Z</dcterms:created>
  <dcterms:modified xsi:type="dcterms:W3CDTF">2026-09-03T13:35:56Z</dcterms:modified>
</cp:coreProperties>
</file>