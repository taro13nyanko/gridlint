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yank\Desktop\後藤さんのclaude\ai-builders-2026\gridlint\bench\corpus\"/>
    </mc:Choice>
  </mc:AlternateContent>
  <xr:revisionPtr revIDLastSave="0" documentId="8_{12BFB750-F0ED-4E4A-906A-9CE377336251}" xr6:coauthVersionLast="47" xr6:coauthVersionMax="47" xr10:uidLastSave="{00000000-0000-0000-0000-000000000000}"/>
  <bookViews>
    <workbookView xWindow="-120" yWindow="-120" windowWidth="29040" windowHeight="15720" xr2:uid="{F201BCDC-6F81-47C3-B252-3D53038E7974}"/>
  </bookViews>
  <sheets>
    <sheet name="Model" sheetId="2" r:id="rId1"/>
    <sheet name="Assumption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3" i="2" l="1"/>
  <c r="C32" i="2"/>
  <c r="C31" i="2"/>
  <c r="C29" i="2"/>
  <c r="H22" i="2"/>
  <c r="G22" i="2"/>
  <c r="F22" i="2"/>
  <c r="E22" i="2"/>
  <c r="D22" i="2"/>
  <c r="C22" i="2"/>
  <c r="H21" i="2"/>
  <c r="G21" i="2"/>
  <c r="F21" i="2"/>
  <c r="E21" i="2"/>
  <c r="D21" i="2"/>
  <c r="C21" i="2"/>
  <c r="H19" i="2"/>
  <c r="G19" i="2"/>
  <c r="F19" i="2"/>
  <c r="E19" i="2"/>
  <c r="D19" i="2"/>
  <c r="C19" i="2"/>
  <c r="H18" i="2"/>
  <c r="G18" i="2"/>
  <c r="F18" i="2"/>
  <c r="E18" i="2"/>
  <c r="D18" i="2"/>
  <c r="H17" i="2"/>
  <c r="G17" i="2"/>
  <c r="F17" i="2"/>
  <c r="E17" i="2"/>
  <c r="D17" i="2"/>
  <c r="H16" i="2"/>
  <c r="G16" i="2"/>
  <c r="F16" i="2"/>
  <c r="E16" i="2"/>
  <c r="D16" i="2"/>
  <c r="H15" i="2"/>
  <c r="G15" i="2"/>
  <c r="F15" i="2"/>
  <c r="E15" i="2"/>
  <c r="D15" i="2"/>
  <c r="H14" i="2"/>
  <c r="G14" i="2"/>
  <c r="F14" i="2"/>
  <c r="E14" i="2"/>
  <c r="D14" i="2"/>
  <c r="H11" i="2"/>
  <c r="G11" i="2"/>
  <c r="F11" i="2"/>
  <c r="E11" i="2"/>
  <c r="D11" i="2"/>
  <c r="C11" i="2"/>
  <c r="H10" i="2"/>
  <c r="G10" i="2"/>
  <c r="F10" i="2"/>
  <c r="E10" i="2"/>
  <c r="D10" i="2"/>
  <c r="H9" i="2"/>
  <c r="G9" i="2"/>
  <c r="F9" i="2"/>
  <c r="E9" i="2"/>
  <c r="D9" i="2"/>
  <c r="H8" i="2"/>
  <c r="G8" i="2"/>
  <c r="F8" i="2"/>
  <c r="E8" i="2"/>
  <c r="D8" i="2"/>
  <c r="H7" i="2"/>
  <c r="G7" i="2"/>
  <c r="F7" i="2"/>
  <c r="E7" i="2"/>
  <c r="D7" i="2"/>
  <c r="H6" i="2"/>
  <c r="G6" i="2"/>
  <c r="F6" i="2"/>
  <c r="E6" i="2"/>
  <c r="D6" i="2"/>
</calcChain>
</file>

<file path=xl/sharedStrings.xml><?xml version="1.0" encoding="utf-8"?>
<sst xmlns="http://schemas.openxmlformats.org/spreadsheetml/2006/main" count="38" uniqueCount="38">
  <si>
    <t>Assumption</t>
  </si>
  <si>
    <t>Value</t>
  </si>
  <si>
    <t>Headcount</t>
  </si>
  <si>
    <t>Cash on hand</t>
  </si>
  <si>
    <t>Plan</t>
  </si>
  <si>
    <t>Growth</t>
  </si>
  <si>
    <t>Jan</t>
  </si>
  <si>
    <t>Feb</t>
  </si>
  <si>
    <t>Mar</t>
  </si>
  <si>
    <t>Apr</t>
  </si>
  <si>
    <t>May</t>
  </si>
  <si>
    <t>Jun</t>
  </si>
  <si>
    <t>REVENUE</t>
  </si>
  <si>
    <t>Software tools</t>
  </si>
  <si>
    <t>Services</t>
  </si>
  <si>
    <t>Salaries</t>
  </si>
  <si>
    <t>Insurance</t>
  </si>
  <si>
    <t>Cloud hosting</t>
  </si>
  <si>
    <t>Total revenue</t>
  </si>
  <si>
    <t>COST OF SALES</t>
  </si>
  <si>
    <t>Office rent</t>
  </si>
  <si>
    <t>Travel</t>
  </si>
  <si>
    <t>Contractors</t>
  </si>
  <si>
    <t>Recruiting</t>
  </si>
  <si>
    <t>Training</t>
  </si>
  <si>
    <t>Total cost of sales</t>
  </si>
  <si>
    <t>Grand total</t>
  </si>
  <si>
    <t>Share of first month</t>
  </si>
  <si>
    <t>Region</t>
  </si>
  <si>
    <t>Weight</t>
  </si>
  <si>
    <t>North</t>
  </si>
  <si>
    <t>South</t>
  </si>
  <si>
    <t>East</t>
  </si>
  <si>
    <t>West</t>
  </si>
  <si>
    <t>Weighted first month</t>
  </si>
  <si>
    <t>Full year</t>
  </si>
  <si>
    <t>Per head</t>
  </si>
  <si>
    <t>Months of cash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</si>
</sst>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9" formatCode="\$#,##0"/>
    <numFmt numFmtId="180" formatCode="0.0%"/>
  </numFmts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79" fontId="0" fillId="0" borderId="0" xfId="0" applyNumberFormat="1">
      <alignment vertical="center"/>
    </xf>
    <xf numFmtId="180" fontId="0" fillId="0" borderId="0" xfId="0" applyNumberForma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D970D-6E59-4096-B7BC-BFD5D4A242A7}">
  <dimension ref="A1:H33"/>
  <sheetViews>
    <sheetView tabSelected="1" workbookViewId="0"/>
  </sheetViews>
  <sheetFormatPr defaultRowHeight="18.75" x14ac:dyDescent="0.4"/>
  <cols>
    <col min="1" max="1" width="28.625" customWidth="1"/>
    <col min="3" max="3" width="11.75" bestFit="1" customWidth="1"/>
    <col min="4" max="6" width="10.625" bestFit="1" customWidth="1"/>
    <col min="7" max="8" width="10.75" bestFit="1" customWidth="1"/>
  </cols>
  <sheetData>
    <row r="1" spans="1:8" x14ac:dyDescent="0.4">
      <c r="A1" t="s">
        <v>4</v>
      </c>
    </row>
    <row r="3" spans="1:8" x14ac:dyDescent="0.4">
      <c r="B3" t="s">
        <v>5</v>
      </c>
      <c r="C3" t="s">
        <v>6</v>
      </c>
      <c r="D3" t="s">
        <v>7</v>
      </c>
      <c r="E3" t="s">
        <v>8</v>
      </c>
      <c r="F3" t="s">
        <v>9</v>
      </c>
      <c r="G3" t="s">
        <v>10</v>
      </c>
      <c r="H3" t="s">
        <v>11</v>
      </c>
    </row>
    <row r="5" spans="1:8" x14ac:dyDescent="0.4">
      <c r="A5" t="s">
        <v>12</v>
      </c>
    </row>
    <row r="6" spans="1:8" x14ac:dyDescent="0.4">
      <c r="A6" t="s">
        <v>13</v>
      </c>
      <c r="B6" s="2">
        <v>7.0999999999999994E-2</v>
      </c>
      <c r="C6" s="1">
        <v>133000</v>
      </c>
      <c r="D6" s="1">
        <f>C6*(1+$B$6)</f>
        <v>142443</v>
      </c>
      <c r="E6" s="1">
        <f>D6*(1+$B$6)</f>
        <v>152556.45299999998</v>
      </c>
      <c r="F6" s="1">
        <f>E6*(1+$B$6)</f>
        <v>163387.96116299997</v>
      </c>
      <c r="G6" s="1">
        <f>F6*(1+$B$6)</f>
        <v>174988.50640557296</v>
      </c>
      <c r="H6" s="1">
        <f>G6*(1+$B$6)</f>
        <v>187412.69036036864</v>
      </c>
    </row>
    <row r="7" spans="1:8" x14ac:dyDescent="0.4">
      <c r="A7" t="s">
        <v>14</v>
      </c>
      <c r="B7" s="2">
        <v>6.9000000000000006E-2</v>
      </c>
      <c r="C7" s="1">
        <v>232000</v>
      </c>
      <c r="D7" s="1">
        <f>C7*(1+$B$7)</f>
        <v>248008</v>
      </c>
      <c r="E7" s="1">
        <f>D7*(1+$B$7)</f>
        <v>265120.55199999997</v>
      </c>
      <c r="F7" s="1">
        <f>E7*(1+$B$7)</f>
        <v>283413.87008799997</v>
      </c>
      <c r="G7" s="1">
        <f>F7*(1+$B$7)</f>
        <v>302969.42712407192</v>
      </c>
      <c r="H7" s="1">
        <f>G7*(1+$B$7)</f>
        <v>323874.31759563286</v>
      </c>
    </row>
    <row r="8" spans="1:8" x14ac:dyDescent="0.4">
      <c r="A8" t="s">
        <v>15</v>
      </c>
      <c r="B8" s="2">
        <v>5.0999999999999997E-2</v>
      </c>
      <c r="C8" s="1">
        <v>61000</v>
      </c>
      <c r="D8" s="1">
        <f>C8*(1+$B$8)</f>
        <v>64110.999999999993</v>
      </c>
      <c r="E8" s="1">
        <f>D8*(1+$B$8)</f>
        <v>67380.660999999993</v>
      </c>
      <c r="F8" s="1">
        <f>E8*(1+$B$8)</f>
        <v>70817.074710999994</v>
      </c>
      <c r="G8" s="1">
        <f>F8*(1+$B$8)</f>
        <v>74428.745521260993</v>
      </c>
      <c r="H8" s="1">
        <f>G8*(1+$B$8)</f>
        <v>78224.611542845305</v>
      </c>
    </row>
    <row r="9" spans="1:8" x14ac:dyDescent="0.4">
      <c r="A9" t="s">
        <v>16</v>
      </c>
      <c r="B9" s="2">
        <v>-2E-3</v>
      </c>
      <c r="C9" s="1">
        <v>132000</v>
      </c>
      <c r="D9" s="1">
        <f>C9*(1+$B$9)</f>
        <v>131736</v>
      </c>
      <c r="E9" s="1">
        <f>D9*(1+$B$9)</f>
        <v>131472.52799999999</v>
      </c>
      <c r="F9" s="1">
        <f>E9*(1+$B$9)</f>
        <v>131209.58294399999</v>
      </c>
      <c r="G9" s="1">
        <f>F9*(1+$B$9)</f>
        <v>130947.16377811199</v>
      </c>
      <c r="H9" s="1">
        <f>G9*(1+$B$9)</f>
        <v>130685.26945055577</v>
      </c>
    </row>
    <row r="10" spans="1:8" x14ac:dyDescent="0.4">
      <c r="A10" t="s">
        <v>17</v>
      </c>
      <c r="B10" s="2">
        <v>0.09</v>
      </c>
      <c r="C10" s="1">
        <v>228000</v>
      </c>
      <c r="D10" s="1">
        <f>C10*(1+$B$10)</f>
        <v>248520.00000000003</v>
      </c>
      <c r="E10" s="1">
        <f>D10*(1+$B$10)</f>
        <v>270886.80000000005</v>
      </c>
      <c r="F10" s="1">
        <f>E10*(1+$B$10)</f>
        <v>295266.61200000008</v>
      </c>
      <c r="G10" s="1">
        <f>F10*(1+$B$10)</f>
        <v>321840.6070800001</v>
      </c>
      <c r="H10" s="1">
        <f>G10*(1+$B$10)</f>
        <v>350806.26171720016</v>
      </c>
    </row>
    <row r="11" spans="1:8" x14ac:dyDescent="0.4">
      <c r="A11" t="s">
        <v>18</v>
      </c>
      <c r="C11" s="1">
        <f>SUM(C6:C10)</f>
        <v>786000</v>
      </c>
      <c r="D11" s="1">
        <f>SUM(D6:D10)</f>
        <v>834818</v>
      </c>
      <c r="E11" s="1">
        <f>SUM(E6:E10)</f>
        <v>887416.99399999995</v>
      </c>
      <c r="F11" s="1">
        <f>SUM(F6:F10)</f>
        <v>944095.10090600001</v>
      </c>
      <c r="G11" s="1">
        <f>SUM(G6:G10)</f>
        <v>1005174.449909018</v>
      </c>
      <c r="H11" s="1">
        <f>SUM(H6:H10)</f>
        <v>1071003.1506666029</v>
      </c>
    </row>
    <row r="13" spans="1:8" x14ac:dyDescent="0.4">
      <c r="A13" t="s">
        <v>19</v>
      </c>
    </row>
    <row r="14" spans="1:8" x14ac:dyDescent="0.4">
      <c r="A14" t="s">
        <v>20</v>
      </c>
      <c r="B14" s="2">
        <v>1.7000000000000001E-2</v>
      </c>
      <c r="C14" s="1">
        <v>265000</v>
      </c>
      <c r="D14" s="1">
        <f>C14*(1+$B$14)</f>
        <v>269505</v>
      </c>
      <c r="E14" s="1">
        <f>D14*(1+$B$14)</f>
        <v>274086.58499999996</v>
      </c>
      <c r="F14" s="1">
        <f>E14*(1+$B$14)</f>
        <v>278746.05694499996</v>
      </c>
      <c r="G14" s="1">
        <f>F14*(1+$B$14)</f>
        <v>283484.73991306493</v>
      </c>
      <c r="H14" s="1">
        <f>G14*(1+$B$14)</f>
        <v>288303.98049158702</v>
      </c>
    </row>
    <row r="15" spans="1:8" x14ac:dyDescent="0.4">
      <c r="A15" t="s">
        <v>21</v>
      </c>
      <c r="B15" s="2">
        <v>6.7000000000000004E-2</v>
      </c>
      <c r="C15" s="1">
        <v>318000</v>
      </c>
      <c r="D15" s="1">
        <f>C15*(1+$B$15)</f>
        <v>339306</v>
      </c>
      <c r="E15" s="1">
        <f>D15*(1+$B$15)</f>
        <v>362039.50199999998</v>
      </c>
      <c r="F15" s="1">
        <f>E15*(1+$B$15)</f>
        <v>386296.14863399998</v>
      </c>
      <c r="G15" s="1">
        <f>F15*(1+$B$15)</f>
        <v>412177.99059247796</v>
      </c>
      <c r="H15" s="1">
        <f>G15*(1+$B$15)</f>
        <v>439793.91596217395</v>
      </c>
    </row>
    <row r="16" spans="1:8" x14ac:dyDescent="0.4">
      <c r="A16" t="s">
        <v>22</v>
      </c>
      <c r="B16" s="2">
        <v>-5.0000000000000001E-3</v>
      </c>
      <c r="C16" s="1">
        <v>10000</v>
      </c>
      <c r="D16" s="1">
        <f>C16*(1+$B$16)</f>
        <v>9950</v>
      </c>
      <c r="E16" s="1">
        <f>D16*(1+$B$16)</f>
        <v>9900.25</v>
      </c>
      <c r="F16" s="1">
        <f>E16*(1+$B$16)</f>
        <v>9850.7487500000007</v>
      </c>
      <c r="G16" s="1">
        <f>F16*(1+$B$16)</f>
        <v>9801.4950062500011</v>
      </c>
      <c r="H16" s="1">
        <f>G16*(1+$B$16)</f>
        <v>9752.4875312187505</v>
      </c>
    </row>
    <row r="17" spans="1:8" x14ac:dyDescent="0.4">
      <c r="A17" t="s">
        <v>23</v>
      </c>
      <c r="B17" s="2">
        <v>-8.0000000000000002E-3</v>
      </c>
      <c r="C17" s="1">
        <v>294000</v>
      </c>
      <c r="D17" s="1">
        <f>C17*(1+$B$17)</f>
        <v>291648</v>
      </c>
      <c r="E17" s="1">
        <f>D17*(1+$B$17)</f>
        <v>289314.81599999999</v>
      </c>
      <c r="F17" s="1">
        <f>E17*(1+$B$17)</f>
        <v>287000.29747200001</v>
      </c>
      <c r="G17" s="1">
        <f>F17*(1+$B$17)</f>
        <v>284704.29509222403</v>
      </c>
      <c r="H17" s="1">
        <f>G17*(1+$B$17)</f>
        <v>282426.66073148622</v>
      </c>
    </row>
    <row r="18" spans="1:8" x14ac:dyDescent="0.4">
      <c r="A18" t="s">
        <v>24</v>
      </c>
      <c r="B18" s="2">
        <v>6.8000000000000005E-2</v>
      </c>
      <c r="C18" s="1">
        <v>330000</v>
      </c>
      <c r="D18" s="1">
        <f>C18*(1+$B$18)</f>
        <v>352440</v>
      </c>
      <c r="E18" s="1">
        <f>D18*(1+$B$18)</f>
        <v>376405.92000000004</v>
      </c>
      <c r="F18" s="1">
        <f>E18*(1+$B$18)</f>
        <v>402001.52256000007</v>
      </c>
      <c r="G18" s="1">
        <f>F18*(1+$B$18)</f>
        <v>429337.6260940801</v>
      </c>
      <c r="H18" s="1">
        <f>G18*(1+$B$18)</f>
        <v>458532.58466847759</v>
      </c>
    </row>
    <row r="19" spans="1:8" x14ac:dyDescent="0.4">
      <c r="A19" t="s">
        <v>25</v>
      </c>
      <c r="C19" s="1">
        <f>SUM(C14:C18)</f>
        <v>1217000</v>
      </c>
      <c r="D19" s="1">
        <f>SUM(D14:D18)</f>
        <v>1262849</v>
      </c>
      <c r="E19" s="1">
        <f>SUM(E14:E18)</f>
        <v>1311747.0729999999</v>
      </c>
      <c r="F19" s="1">
        <f>SUM(F14:F18)</f>
        <v>1363894.7743609999</v>
      </c>
      <c r="G19" s="1">
        <f>SUM(G14:G18)</f>
        <v>1419506.146698097</v>
      </c>
      <c r="H19" s="1">
        <f>SUM(H14:H18)</f>
        <v>1478809.6293849435</v>
      </c>
    </row>
    <row r="21" spans="1:8" x14ac:dyDescent="0.4">
      <c r="A21" t="s">
        <v>26</v>
      </c>
      <c r="C21" s="1">
        <f>SUM(C11,C19)</f>
        <v>2003000</v>
      </c>
      <c r="D21" s="1">
        <f>SUM(D11,D19)</f>
        <v>2097667</v>
      </c>
      <c r="E21" s="1">
        <f>SUM(E11,E19)</f>
        <v>2199164.0669999998</v>
      </c>
      <c r="F21" s="1">
        <f>SUM(F11,F19)</f>
        <v>2307989.8752669999</v>
      </c>
      <c r="G21" s="1">
        <f>SUM(G11,G19)</f>
        <v>2424680.5966071151</v>
      </c>
      <c r="H21" s="1">
        <f>SUM(H11,H19)</f>
        <v>2549812.7800515462</v>
      </c>
    </row>
    <row r="22" spans="1:8" x14ac:dyDescent="0.4">
      <c r="A22" t="s">
        <v>27</v>
      </c>
      <c r="C22" s="2">
        <f>C21/$C$21</f>
        <v>1</v>
      </c>
      <c r="D22" s="2">
        <f>D21/$C$21</f>
        <v>1.0472626060908636</v>
      </c>
      <c r="E22" s="2">
        <f>E21/$C$21</f>
        <v>1.0979351308037941</v>
      </c>
      <c r="F22" s="2">
        <f>F21/$C$21</f>
        <v>1.1522665378267598</v>
      </c>
      <c r="G22" s="2">
        <f>G21/$C$21</f>
        <v>1.2105245115362533</v>
      </c>
      <c r="H22" s="2">
        <f>H21/$C$21</f>
        <v>1.2729968946837475</v>
      </c>
    </row>
    <row r="24" spans="1:8" x14ac:dyDescent="0.4">
      <c r="A24" t="s">
        <v>28</v>
      </c>
      <c r="B24" t="s">
        <v>29</v>
      </c>
    </row>
    <row r="25" spans="1:8" x14ac:dyDescent="0.4">
      <c r="A25" t="s">
        <v>30</v>
      </c>
      <c r="B25">
        <v>0.1</v>
      </c>
    </row>
    <row r="26" spans="1:8" x14ac:dyDescent="0.4">
      <c r="A26" t="s">
        <v>31</v>
      </c>
      <c r="B26">
        <v>0.3</v>
      </c>
    </row>
    <row r="27" spans="1:8" x14ac:dyDescent="0.4">
      <c r="A27" t="s">
        <v>32</v>
      </c>
      <c r="B27">
        <v>0.5</v>
      </c>
    </row>
    <row r="28" spans="1:8" x14ac:dyDescent="0.4">
      <c r="A28" t="s">
        <v>33</v>
      </c>
      <c r="B28">
        <v>0.7</v>
      </c>
    </row>
    <row r="29" spans="1:8" x14ac:dyDescent="0.4">
      <c r="A29" t="s">
        <v>34</v>
      </c>
      <c r="C29" s="1">
        <f>ROUND(C21*VLOOKUP("East",A25:B28,2,FALSE),0)</f>
        <v>1001500</v>
      </c>
    </row>
    <row r="31" spans="1:8" x14ac:dyDescent="0.4">
      <c r="A31" t="s">
        <v>35</v>
      </c>
      <c r="C31" s="1">
        <f>SUM(C21:H21)</f>
        <v>13582314.318925662</v>
      </c>
    </row>
    <row r="32" spans="1:8" x14ac:dyDescent="0.4">
      <c r="A32" t="s">
        <v>36</v>
      </c>
      <c r="C32" s="1">
        <f>ROUND(C31/Assumptions!B2,0)</f>
        <v>411585</v>
      </c>
    </row>
    <row r="33" spans="1:3" x14ac:dyDescent="0.4">
      <c r="A33" t="s">
        <v>37</v>
      </c>
      <c r="C33">
        <f>ROUND(Assumptions!B3/AVERAGE(C21:H21),1)</f>
        <v>2.1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5DDCD-2C80-49DE-9D02-1A1A180D361C}">
  <dimension ref="A1:B3"/>
  <sheetViews>
    <sheetView workbookViewId="0"/>
  </sheetViews>
  <sheetFormatPr defaultRowHeight="18.75" x14ac:dyDescent="0.4"/>
  <cols>
    <col min="2" max="2" width="10.625" bestFit="1" customWidth="1"/>
  </cols>
  <sheetData>
    <row r="1" spans="1:2" x14ac:dyDescent="0.4">
      <c r="A1" t="s">
        <v>0</v>
      </c>
      <c r="B1" t="s">
        <v>1</v>
      </c>
    </row>
    <row r="2" spans="1:2" x14ac:dyDescent="0.4">
      <c r="A2" t="s">
        <v>2</v>
      </c>
      <c r="B2">
        <v>33</v>
      </c>
    </row>
    <row r="3" spans="1:2" x14ac:dyDescent="0.4">
      <c r="A3" t="s">
        <v>3</v>
      </c>
      <c r="B3" s="1">
        <v>4800000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Model</vt:lpstr>
      <vt:lpstr>Assumptions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太田　悠介</dc:creator>
  <cp:lastModifiedBy>太田　悠介</cp:lastModifiedBy>
  <dcterms:created xsi:type="dcterms:W3CDTF">2026-09-03T08:10:19Z</dcterms:created>
  <dcterms:modified xsi:type="dcterms:W3CDTF">2026-09-03T08:10:22Z</dcterms:modified>
</cp:coreProperties>
</file>