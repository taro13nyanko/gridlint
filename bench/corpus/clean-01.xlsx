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7B4E9827-9C7E-44C7-95AB-B35BBBEC8069}" xr6:coauthVersionLast="47" xr6:coauthVersionMax="47" xr10:uidLastSave="{00000000-0000-0000-0000-000000000000}"/>
  <bookViews>
    <workbookView xWindow="-120" yWindow="-120" windowWidth="29040" windowHeight="15720" xr2:uid="{E1616085-628E-479F-9FC4-3948003EB58E}"/>
  </bookViews>
  <sheets>
    <sheet name="Model" sheetId="2" r:id="rId1"/>
    <sheet name="Assump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2" l="1"/>
  <c r="C24" i="2"/>
  <c r="C23" i="2"/>
  <c r="N21" i="2"/>
  <c r="M21" i="2"/>
  <c r="L21" i="2"/>
  <c r="K21" i="2"/>
  <c r="J21" i="2"/>
  <c r="I21" i="2"/>
  <c r="H21" i="2"/>
  <c r="G21" i="2"/>
  <c r="F21" i="2"/>
  <c r="E21" i="2"/>
  <c r="D21" i="2"/>
  <c r="C21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N9" i="2"/>
  <c r="M9" i="2"/>
  <c r="L9" i="2"/>
  <c r="K9" i="2"/>
  <c r="J9" i="2"/>
  <c r="I9" i="2"/>
  <c r="H9" i="2"/>
  <c r="G9" i="2"/>
  <c r="F9" i="2"/>
  <c r="E9" i="2"/>
  <c r="D9" i="2"/>
  <c r="N8" i="2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</calcChain>
</file>

<file path=xl/sharedStrings.xml><?xml version="1.0" encoding="utf-8"?>
<sst xmlns="http://schemas.openxmlformats.org/spreadsheetml/2006/main" count="37" uniqueCount="37">
  <si>
    <t>Assumption</t>
  </si>
  <si>
    <t>Value</t>
  </si>
  <si>
    <t>Headcount</t>
  </si>
  <si>
    <t>Cash on hand</t>
  </si>
  <si>
    <t>Plan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</si>
  <si>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</si>
  <si>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</si>
  <si>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</si>
  <si>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</si>
  <si>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</si>
  <si>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</si>
  <si>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</si>
  <si>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</si>
  <si>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</si>
  <si>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</si>
  <si>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</si>
  <si>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</si>
  <si>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</si>
  <si>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</si>
  <si>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Software tools</t>
  </si>
  <si>
    <t>Services</t>
  </si>
  <si>
    <t>Salaries</t>
  </si>
  <si>
    <t>Insurance</t>
  </si>
  <si>
    <t>Cloud hosting</t>
  </si>
  <si>
    <t>Total revenue</t>
  </si>
  <si>
    <t>COST OF SALES</t>
  </si>
  <si>
    <t>Office rent</t>
  </si>
  <si>
    <t>Travel</t>
  </si>
  <si>
    <t>Contractors</t>
  </si>
  <si>
    <t>Recruiting</t>
  </si>
  <si>
    <t>Training</t>
  </si>
  <si>
    <t>Total cost of sales</t>
  </si>
  <si>
    <t>Grand total</t>
  </si>
  <si>
    <t>Full year</t>
  </si>
  <si>
    <t>Per head</t>
  </si>
  <si>
    <t>Months of cash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</si>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</sst>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1C96-CC8E-4BC7-B3E7-3F26B410AA03}">
  <dimension ref="A1:P25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6" width="10.625" bestFit="1" customWidth="1"/>
    <col min="7" max="14" width="10.75" bestFit="1" customWidth="1"/>
    <col min="16" max="16" width="0" hidden="1" customWidth="1"/>
  </cols>
  <sheetData>
    <row r="1" spans="1:16" x14ac:dyDescent="0.4">
      <c r="A1" t="s">
        <v>4</v>
      </c>
    </row>
    <row r="3" spans="1:16" x14ac:dyDescent="0.4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P3" t="s">
        <v>36</v>
      </c>
    </row>
    <row r="4" spans="1:16" x14ac:dyDescent="0.4">
      <c r="P4">
        <v>4</v>
      </c>
    </row>
    <row r="5" spans="1:16" x14ac:dyDescent="0.4">
      <c r="A5" t="s">
        <v>18</v>
      </c>
      <c r="P5">
        <v>5</v>
      </c>
    </row>
    <row r="6" spans="1:16" x14ac:dyDescent="0.4">
      <c r="A6" t="s">
        <v>19</v>
      </c>
      <c r="B6" s="2">
        <v>7.0999999999999994E-2</v>
      </c>
      <c r="C6" s="1">
        <v>133000</v>
      </c>
      <c r="D6" s="1">
        <f>C6*(1+$B$6)</f>
        <v>142443</v>
      </c>
      <c r="E6" s="1">
        <f>D6*(1+$B$6)</f>
        <v>152556.45299999998</v>
      </c>
      <c r="F6" s="1">
        <f>E6*(1+$B$6)</f>
        <v>163387.96116299997</v>
      </c>
      <c r="G6" s="1">
        <f>F6*(1+$B$6)</f>
        <v>174988.50640557296</v>
      </c>
      <c r="H6" s="1">
        <f>G6*(1+$B$6)</f>
        <v>187412.69036036864</v>
      </c>
      <c r="I6" s="1">
        <f>H6*(1+$B$6)</f>
        <v>200718.99137595479</v>
      </c>
      <c r="J6" s="1">
        <f>I6*(1+$B$6)</f>
        <v>214970.03976364757</v>
      </c>
      <c r="K6" s="1">
        <f>J6*(1+$B$6)</f>
        <v>230232.91258686653</v>
      </c>
      <c r="L6" s="1">
        <f>K6*(1+$B$6)</f>
        <v>246579.44938053403</v>
      </c>
      <c r="M6" s="1">
        <f>L6*(1+$B$6)</f>
        <v>264086.59028655192</v>
      </c>
      <c r="N6" s="1">
        <f>M6*(1+$B$6)</f>
        <v>282836.73819689709</v>
      </c>
      <c r="P6">
        <v>6</v>
      </c>
    </row>
    <row r="7" spans="1:16" x14ac:dyDescent="0.4">
      <c r="A7" t="s">
        <v>20</v>
      </c>
      <c r="B7" s="2">
        <v>6.9000000000000006E-2</v>
      </c>
      <c r="C7" s="1">
        <v>232000</v>
      </c>
      <c r="D7" s="1">
        <f>C7*(1+$B$7)</f>
        <v>248008</v>
      </c>
      <c r="E7" s="1">
        <f>D7*(1+$B$7)</f>
        <v>265120.55199999997</v>
      </c>
      <c r="F7" s="1">
        <f>E7*(1+$B$7)</f>
        <v>283413.87008799997</v>
      </c>
      <c r="G7" s="1">
        <f>F7*(1+$B$7)</f>
        <v>302969.42712407192</v>
      </c>
      <c r="H7" s="1">
        <f>G7*(1+$B$7)</f>
        <v>323874.31759563286</v>
      </c>
      <c r="I7" s="1">
        <f>H7*(1+$B$7)</f>
        <v>346221.64550973149</v>
      </c>
      <c r="J7" s="1">
        <f>I7*(1+$B$7)</f>
        <v>370110.93904990295</v>
      </c>
      <c r="K7" s="1">
        <f>J7*(1+$B$7)</f>
        <v>395648.59384434624</v>
      </c>
      <c r="L7" s="1">
        <f>K7*(1+$B$7)</f>
        <v>422948.34681960609</v>
      </c>
      <c r="M7" s="1">
        <f>L7*(1+$B$7)</f>
        <v>452131.78275015886</v>
      </c>
      <c r="N7" s="1">
        <f>M7*(1+$B$7)</f>
        <v>483328.87575991981</v>
      </c>
      <c r="P7">
        <v>7</v>
      </c>
    </row>
    <row r="8" spans="1:16" x14ac:dyDescent="0.4">
      <c r="A8" t="s">
        <v>21</v>
      </c>
      <c r="B8" s="2">
        <v>5.0999999999999997E-2</v>
      </c>
      <c r="C8" s="1">
        <v>61000</v>
      </c>
      <c r="D8" s="1">
        <f>C8*(1+$B$8)</f>
        <v>64110.999999999993</v>
      </c>
      <c r="E8" s="1">
        <f>D8*(1+$B$8)</f>
        <v>67380.660999999993</v>
      </c>
      <c r="F8" s="1">
        <f>E8*(1+$B$8)</f>
        <v>70817.074710999994</v>
      </c>
      <c r="G8" s="1">
        <f>F8*(1+$B$8)</f>
        <v>74428.745521260993</v>
      </c>
      <c r="H8" s="1">
        <f>G8*(1+$B$8)</f>
        <v>78224.611542845305</v>
      </c>
      <c r="I8" s="1">
        <f>H8*(1+$B$8)</f>
        <v>82214.066731530416</v>
      </c>
      <c r="J8" s="1">
        <f>I8*(1+$B$8)</f>
        <v>86406.984134838465</v>
      </c>
      <c r="K8" s="1">
        <f>J8*(1+$B$8)</f>
        <v>90813.740325715218</v>
      </c>
      <c r="L8" s="1">
        <f>K8*(1+$B$8)</f>
        <v>95445.241082326684</v>
      </c>
      <c r="M8" s="1">
        <f>L8*(1+$B$8)</f>
        <v>100312.94837752533</v>
      </c>
      <c r="N8" s="1">
        <f>M8*(1+$B$8)</f>
        <v>105428.90874477912</v>
      </c>
    </row>
    <row r="9" spans="1:16" x14ac:dyDescent="0.4">
      <c r="A9" t="s">
        <v>22</v>
      </c>
      <c r="B9" s="2">
        <v>-2E-3</v>
      </c>
      <c r="C9" s="1">
        <v>132000</v>
      </c>
      <c r="D9" s="1">
        <f>C9*(1+$B$9)</f>
        <v>131736</v>
      </c>
      <c r="E9" s="1">
        <f>D9*(1+$B$9)</f>
        <v>131472.52799999999</v>
      </c>
      <c r="F9" s="1">
        <f>E9*(1+$B$9)</f>
        <v>131209.58294399999</v>
      </c>
      <c r="G9" s="1">
        <f>F9*(1+$B$9)</f>
        <v>130947.16377811199</v>
      </c>
      <c r="H9" s="1">
        <f>G9*(1+$B$9)</f>
        <v>130685.26945055577</v>
      </c>
      <c r="I9" s="1">
        <f>H9*(1+$B$9)</f>
        <v>130423.89891165466</v>
      </c>
      <c r="J9" s="1">
        <f>I9*(1+$B$9)</f>
        <v>130163.05111383134</v>
      </c>
      <c r="K9" s="1">
        <f>J9*(1+$B$9)</f>
        <v>129902.72501160369</v>
      </c>
      <c r="L9" s="1">
        <f>K9*(1+$B$9)</f>
        <v>129642.91956158048</v>
      </c>
      <c r="M9" s="1">
        <f>L9*(1+$B$9)</f>
        <v>129383.63372245732</v>
      </c>
      <c r="N9" s="1">
        <f>M9*(1+$B$9)</f>
        <v>129124.86645501241</v>
      </c>
    </row>
    <row r="10" spans="1:16" x14ac:dyDescent="0.4">
      <c r="A10" t="s">
        <v>23</v>
      </c>
      <c r="B10" s="2">
        <v>0.09</v>
      </c>
      <c r="C10" s="1">
        <v>228000</v>
      </c>
      <c r="D10" s="1">
        <f>C10*(1+$B$10)</f>
        <v>248520.00000000003</v>
      </c>
      <c r="E10" s="1">
        <f>D10*(1+$B$10)</f>
        <v>270886.80000000005</v>
      </c>
      <c r="F10" s="1">
        <f>E10*(1+$B$10)</f>
        <v>295266.61200000008</v>
      </c>
      <c r="G10" s="1">
        <f>F10*(1+$B$10)</f>
        <v>321840.6070800001</v>
      </c>
      <c r="H10" s="1">
        <f>G10*(1+$B$10)</f>
        <v>350806.26171720016</v>
      </c>
      <c r="I10" s="1">
        <f>H10*(1+$B$10)</f>
        <v>382378.82527174818</v>
      </c>
      <c r="J10" s="1">
        <f>I10*(1+$B$10)</f>
        <v>416792.91954620555</v>
      </c>
      <c r="K10" s="1">
        <f>J10*(1+$B$10)</f>
        <v>454304.28230536409</v>
      </c>
      <c r="L10" s="1">
        <f>K10*(1+$B$10)</f>
        <v>495191.66771284689</v>
      </c>
      <c r="M10" s="1">
        <f>L10*(1+$B$10)</f>
        <v>539758.91780700313</v>
      </c>
      <c r="N10" s="1">
        <f>M10*(1+$B$10)</f>
        <v>588337.22040963348</v>
      </c>
    </row>
    <row r="11" spans="1:16" x14ac:dyDescent="0.4">
      <c r="A11" t="s">
        <v>24</v>
      </c>
      <c r="C11" s="1">
        <f>SUM(C6:C10)</f>
        <v>786000</v>
      </c>
      <c r="D11" s="1">
        <f>SUM(D6:D10)</f>
        <v>834818</v>
      </c>
      <c r="E11" s="1">
        <f>SUM(E6:E10)</f>
        <v>887416.99399999995</v>
      </c>
      <c r="F11" s="1">
        <f>SUM(F6:F10)</f>
        <v>944095.10090600001</v>
      </c>
      <c r="G11" s="1">
        <f>SUM(G6:G10)</f>
        <v>1005174.449909018</v>
      </c>
      <c r="H11" s="1">
        <f>SUM(H6:H10)</f>
        <v>1071003.1506666029</v>
      </c>
      <c r="I11" s="1">
        <f>SUM(I6:I10)</f>
        <v>1141957.4278006197</v>
      </c>
      <c r="J11" s="1">
        <f>SUM(J6:J10)</f>
        <v>1218443.9336084258</v>
      </c>
      <c r="K11" s="1">
        <f>SUM(K6:K10)</f>
        <v>1300902.2540738957</v>
      </c>
      <c r="L11" s="1">
        <f>SUM(L6:L10)</f>
        <v>1389807.6245568944</v>
      </c>
      <c r="M11" s="1">
        <f>SUM(M6:M10)</f>
        <v>1485673.8729436966</v>
      </c>
      <c r="N11" s="1">
        <f>SUM(N6:N10)</f>
        <v>1589056.609566242</v>
      </c>
    </row>
    <row r="13" spans="1:16" x14ac:dyDescent="0.4">
      <c r="A13" t="s">
        <v>25</v>
      </c>
    </row>
    <row r="14" spans="1:16" x14ac:dyDescent="0.4">
      <c r="A14" t="s">
        <v>26</v>
      </c>
      <c r="B14" s="2">
        <v>1.7000000000000001E-2</v>
      </c>
      <c r="C14" s="1">
        <v>265000</v>
      </c>
      <c r="D14" s="1">
        <f>C14*(1+$B$14)</f>
        <v>269505</v>
      </c>
      <c r="E14" s="1">
        <f>D14*(1+$B$14)</f>
        <v>274086.58499999996</v>
      </c>
      <c r="F14" s="1">
        <f>E14*(1+$B$14)</f>
        <v>278746.05694499996</v>
      </c>
      <c r="G14" s="1">
        <f>F14*(1+$B$14)</f>
        <v>283484.73991306493</v>
      </c>
      <c r="H14" s="1">
        <f>G14*(1+$B$14)</f>
        <v>288303.98049158702</v>
      </c>
      <c r="I14" s="1">
        <f>H14*(1+$B$14)</f>
        <v>293205.14815994399</v>
      </c>
      <c r="J14" s="1">
        <f>I14*(1+$B$14)</f>
        <v>298189.63567866303</v>
      </c>
      <c r="K14" s="1">
        <f>J14*(1+$B$14)</f>
        <v>303258.85948520026</v>
      </c>
      <c r="L14" s="1">
        <f>K14*(1+$B$14)</f>
        <v>308414.26009644865</v>
      </c>
      <c r="M14" s="1">
        <f>L14*(1+$B$14)</f>
        <v>313657.30251808825</v>
      </c>
      <c r="N14" s="1">
        <f>M14*(1+$B$14)</f>
        <v>318989.47666089574</v>
      </c>
    </row>
    <row r="15" spans="1:16" x14ac:dyDescent="0.4">
      <c r="A15" t="s">
        <v>27</v>
      </c>
      <c r="B15" s="2">
        <v>6.7000000000000004E-2</v>
      </c>
      <c r="C15" s="1">
        <v>318000</v>
      </c>
      <c r="D15" s="1">
        <f>C15*(1+$B$15)</f>
        <v>339306</v>
      </c>
      <c r="E15" s="1">
        <f>D15*(1+$B$15)</f>
        <v>362039.50199999998</v>
      </c>
      <c r="F15" s="1">
        <f>E15*(1+$B$15)</f>
        <v>386296.14863399998</v>
      </c>
      <c r="G15" s="1">
        <f>F15*(1+$B$15)</f>
        <v>412177.99059247796</v>
      </c>
      <c r="H15" s="1">
        <f>G15*(1+$B$15)</f>
        <v>439793.91596217395</v>
      </c>
      <c r="I15" s="1">
        <f>H15*(1+$B$15)</f>
        <v>469260.10833163961</v>
      </c>
      <c r="J15" s="1">
        <f>I15*(1+$B$15)</f>
        <v>500700.53558985941</v>
      </c>
      <c r="K15" s="1">
        <f>J15*(1+$B$15)</f>
        <v>534247.47147438</v>
      </c>
      <c r="L15" s="1">
        <f>K15*(1+$B$15)</f>
        <v>570042.05206316349</v>
      </c>
      <c r="M15" s="1">
        <f>L15*(1+$B$15)</f>
        <v>608234.86955139542</v>
      </c>
      <c r="N15" s="1">
        <f>M15*(1+$B$15)</f>
        <v>648986.60581133887</v>
      </c>
    </row>
    <row r="16" spans="1:16" x14ac:dyDescent="0.4">
      <c r="A16" t="s">
        <v>28</v>
      </c>
      <c r="B16" s="2">
        <v>-5.0000000000000001E-3</v>
      </c>
      <c r="C16" s="1">
        <v>10000</v>
      </c>
      <c r="D16" s="1">
        <f>C16*(1+$B$16)</f>
        <v>9950</v>
      </c>
      <c r="E16" s="1">
        <f>D16*(1+$B$16)</f>
        <v>9900.25</v>
      </c>
      <c r="F16" s="1">
        <f>E16*(1+$B$16)</f>
        <v>9850.7487500000007</v>
      </c>
      <c r="G16" s="1">
        <f>F16*(1+$B$16)</f>
        <v>9801.4950062500011</v>
      </c>
      <c r="H16" s="1">
        <f>G16*(1+$B$16)</f>
        <v>9752.4875312187505</v>
      </c>
      <c r="I16" s="1">
        <f>H16*(1+$B$16)</f>
        <v>9703.7250935626562</v>
      </c>
      <c r="J16" s="1">
        <f>I16*(1+$B$16)</f>
        <v>9655.2064680948424</v>
      </c>
      <c r="K16" s="1">
        <f>J16*(1+$B$16)</f>
        <v>9606.9304357543679</v>
      </c>
      <c r="L16" s="1">
        <f>K16*(1+$B$16)</f>
        <v>9558.8957835755955</v>
      </c>
      <c r="M16" s="1">
        <f>L16*(1+$B$16)</f>
        <v>9511.1013046577173</v>
      </c>
      <c r="N16" s="1">
        <f>M16*(1+$B$16)</f>
        <v>9463.545798134428</v>
      </c>
    </row>
    <row r="17" spans="1:14" x14ac:dyDescent="0.4">
      <c r="A17" t="s">
        <v>29</v>
      </c>
      <c r="B17" s="2">
        <v>-8.0000000000000002E-3</v>
      </c>
      <c r="C17" s="1">
        <v>294000</v>
      </c>
      <c r="D17" s="1">
        <f>C17*(1+$B$17)</f>
        <v>291648</v>
      </c>
      <c r="E17" s="1">
        <f>D17*(1+$B$17)</f>
        <v>289314.81599999999</v>
      </c>
      <c r="F17" s="1">
        <f>E17*(1+$B$17)</f>
        <v>287000.29747200001</v>
      </c>
      <c r="G17" s="1">
        <f>F17*(1+$B$17)</f>
        <v>284704.29509222403</v>
      </c>
      <c r="H17" s="1">
        <f>G17*(1+$B$17)</f>
        <v>282426.66073148622</v>
      </c>
      <c r="I17" s="1">
        <f>H17*(1+$B$17)</f>
        <v>280167.24744563433</v>
      </c>
      <c r="J17" s="1">
        <f>I17*(1+$B$17)</f>
        <v>277925.90946606925</v>
      </c>
      <c r="K17" s="1">
        <f>J17*(1+$B$17)</f>
        <v>275702.50219034072</v>
      </c>
      <c r="L17" s="1">
        <f>K17*(1+$B$17)</f>
        <v>273496.882172818</v>
      </c>
      <c r="M17" s="1">
        <f>L17*(1+$B$17)</f>
        <v>271308.90711543546</v>
      </c>
      <c r="N17" s="1">
        <f>M17*(1+$B$17)</f>
        <v>269138.43585851195</v>
      </c>
    </row>
    <row r="18" spans="1:14" x14ac:dyDescent="0.4">
      <c r="A18" t="s">
        <v>30</v>
      </c>
      <c r="B18" s="2">
        <v>6.8000000000000005E-2</v>
      </c>
      <c r="C18" s="1">
        <v>330000</v>
      </c>
      <c r="D18" s="1">
        <f>C18*(1+$B$18)</f>
        <v>352440</v>
      </c>
      <c r="E18" s="1">
        <f>D18*(1+$B$18)</f>
        <v>376405.92000000004</v>
      </c>
      <c r="F18" s="1">
        <f>E18*(1+$B$18)</f>
        <v>402001.52256000007</v>
      </c>
      <c r="G18" s="1">
        <f>F18*(1+$B$18)</f>
        <v>429337.6260940801</v>
      </c>
      <c r="H18" s="1">
        <f>G18*(1+$B$18)</f>
        <v>458532.58466847759</v>
      </c>
      <c r="I18" s="1">
        <f>H18*(1+$B$18)</f>
        <v>489712.80042593408</v>
      </c>
      <c r="J18" s="1">
        <f>I18*(1+$B$18)</f>
        <v>523013.27085489762</v>
      </c>
      <c r="K18" s="1">
        <f>J18*(1+$B$18)</f>
        <v>558578.17327303067</v>
      </c>
      <c r="L18" s="1">
        <f>K18*(1+$B$18)</f>
        <v>596561.48905559676</v>
      </c>
      <c r="M18" s="1">
        <f>L18*(1+$B$18)</f>
        <v>637127.67031137738</v>
      </c>
      <c r="N18" s="1">
        <f>M18*(1+$B$18)</f>
        <v>680452.35189255106</v>
      </c>
    </row>
    <row r="19" spans="1:14" x14ac:dyDescent="0.4">
      <c r="A19" t="s">
        <v>31</v>
      </c>
      <c r="C19" s="1">
        <f>SUM(C14:C18)</f>
        <v>1217000</v>
      </c>
      <c r="D19" s="1">
        <f>SUM(D14:D18)</f>
        <v>1262849</v>
      </c>
      <c r="E19" s="1">
        <f>SUM(E14:E18)</f>
        <v>1311747.0729999999</v>
      </c>
      <c r="F19" s="1">
        <f>SUM(F14:F18)</f>
        <v>1363894.7743609999</v>
      </c>
      <c r="G19" s="1">
        <f>SUM(G14:G18)</f>
        <v>1419506.146698097</v>
      </c>
      <c r="H19" s="1">
        <f>SUM(H14:H18)</f>
        <v>1478809.6293849435</v>
      </c>
      <c r="I19" s="1">
        <f>SUM(I14:I18)</f>
        <v>1542049.0294567146</v>
      </c>
      <c r="J19" s="1">
        <f>SUM(J14:J18)</f>
        <v>1609484.5580575841</v>
      </c>
      <c r="K19" s="1">
        <f>SUM(K14:K18)</f>
        <v>1681393.9368587059</v>
      </c>
      <c r="L19" s="1">
        <f>SUM(L14:L18)</f>
        <v>1758073.5791716024</v>
      </c>
      <c r="M19" s="1">
        <f>SUM(M14:M18)</f>
        <v>1839839.8508009543</v>
      </c>
      <c r="N19" s="1">
        <f>SUM(N14:N18)</f>
        <v>1927030.4160214318</v>
      </c>
    </row>
    <row r="21" spans="1:14" x14ac:dyDescent="0.4">
      <c r="A21" t="s">
        <v>32</v>
      </c>
      <c r="C21" s="1">
        <f>SUM(C11,C19)</f>
        <v>2003000</v>
      </c>
      <c r="D21" s="1">
        <f>SUM(D11,D19)</f>
        <v>2097667</v>
      </c>
      <c r="E21" s="1">
        <f>SUM(E11,E19)</f>
        <v>2199164.0669999998</v>
      </c>
      <c r="F21" s="1">
        <f>SUM(F11,F19)</f>
        <v>2307989.8752669999</v>
      </c>
      <c r="G21" s="1">
        <f>SUM(G11,G19)</f>
        <v>2424680.5966071151</v>
      </c>
      <c r="H21" s="1">
        <f>SUM(H11,H19)</f>
        <v>2549812.7800515462</v>
      </c>
      <c r="I21" s="1">
        <f>SUM(I11,I19)</f>
        <v>2684006.4572573341</v>
      </c>
      <c r="J21" s="1">
        <f>SUM(J11,J19)</f>
        <v>2827928.4916660096</v>
      </c>
      <c r="K21" s="1">
        <f>SUM(K11,K19)</f>
        <v>2982296.1909326017</v>
      </c>
      <c r="L21" s="1">
        <f>SUM(L11,L19)</f>
        <v>3147881.203728497</v>
      </c>
      <c r="M21" s="1">
        <f>SUM(M11,M19)</f>
        <v>3325513.7237446508</v>
      </c>
      <c r="N21" s="1">
        <f>SUM(N11,N19)</f>
        <v>3516087.0255876738</v>
      </c>
    </row>
    <row r="23" spans="1:14" x14ac:dyDescent="0.4">
      <c r="A23" t="s">
        <v>33</v>
      </c>
      <c r="C23" s="1">
        <f>SUM(C21:N21)</f>
        <v>32066027.411842428</v>
      </c>
    </row>
    <row r="24" spans="1:14" x14ac:dyDescent="0.4">
      <c r="A24" t="s">
        <v>34</v>
      </c>
      <c r="C24" s="1">
        <f>ROUND(C23/Assumptions!B2,0)</f>
        <v>337537</v>
      </c>
    </row>
    <row r="25" spans="1:14" x14ac:dyDescent="0.4">
      <c r="A25" t="s">
        <v>35</v>
      </c>
      <c r="C25">
        <f>ROUND(Assumptions!B3/AVERAGE(C21:N21),1)</f>
        <v>2.1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B392-468A-4726-A9C6-53ADD0B5CB8F}">
  <dimension ref="A1:B3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95</v>
      </c>
    </row>
    <row r="3" spans="1:2" x14ac:dyDescent="0.4">
      <c r="A3" t="s">
        <v>3</v>
      </c>
      <c r="B3" s="1">
        <v>5600000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2026-09-03T13:35:31Z</dcterms:created>
  <dcterms:modified xsi:type="dcterms:W3CDTF">2026-09-03T13:35:34Z</dcterms:modified>
</cp:coreProperties>
</file>