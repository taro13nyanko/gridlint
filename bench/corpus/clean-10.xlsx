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5DF3D6D1-F811-4B75-933B-FB7D4312659D}" xr6:coauthVersionLast="47" xr6:coauthVersionMax="47" xr10:uidLastSave="{00000000-0000-0000-0000-000000000000}"/>
  <bookViews>
    <workbookView xWindow="-120" yWindow="-120" windowWidth="29040" windowHeight="15720" xr2:uid="{1943D774-89D8-4FD8-9FA0-9A38447797F7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2" l="1"/>
  <c r="C19" i="2"/>
  <c r="C18" i="2"/>
  <c r="C16" i="2"/>
  <c r="H9" i="2"/>
  <c r="G9" i="2"/>
  <c r="F9" i="2"/>
  <c r="E9" i="2"/>
  <c r="D9" i="2"/>
  <c r="C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<sst xmlns="http://schemas.openxmlformats.org/spreadsheetml/2006/main" count="27" uniqueCount="27">
  <si>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</si>
  <si>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</si>
  <si>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</si>
  <si>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</si>
  <si>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</si>
  <si>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</si>
  <si>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</si>
  <si>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</si>
  <si>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</si>
  <si>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</si>
  <si>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</si>
  <si>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</si>
  <si>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</si>
  <si>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Cloud hosting</t>
  </si>
  <si>
    <t>Content</t>
  </si>
  <si>
    <t>Support</t>
  </si>
  <si>
    <t>Total revenue</t>
  </si>
  <si>
    <t>Region</t>
  </si>
  <si>
    <t>Weight</t>
  </si>
  <si>
    <t>North</t>
  </si>
  <si>
    <t>South</t>
  </si>
  <si>
    <t>East</t>
  </si>
  <si>
    <t>West</t>
  </si>
  <si>
    <t>Weighted first month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</si>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</sst>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C07AE-563B-42B4-81BA-54B46C788820}">
  <dimension ref="A1:H20"/>
  <sheetViews>
    <sheetView tabSelected="1" workbookViewId="0"/>
  </sheetViews>
  <sheetFormatPr defaultRowHeight="18.75" x14ac:dyDescent="0.4"/>
  <cols>
    <col min="1" max="1" width="28.625" customWidth="1"/>
    <col min="3" max="8" width="10.625" bestFit="1" customWidth="1"/>
  </cols>
  <sheetData>
    <row r="1" spans="1:8" x14ac:dyDescent="0.4">
      <c r="A1" t="s">
        <v>4</v>
      </c>
    </row>
    <row r="3" spans="1:8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</row>
    <row r="5" spans="1:8" x14ac:dyDescent="0.4">
      <c r="A5" t="s">
        <v>12</v>
      </c>
    </row>
    <row r="6" spans="1:8" x14ac:dyDescent="0.4">
      <c r="A6" t="s">
        <v>13</v>
      </c>
      <c r="B6" s="2">
        <v>1.7999999999999999E-2</v>
      </c>
      <c r="C6" s="1">
        <v>314000</v>
      </c>
      <c r="D6" s="1">
        <f>C6*(1+$B$6)</f>
        <v>319652</v>
      </c>
      <c r="E6" s="1">
        <f>D6*(1+$B$6)</f>
        <v>325405.73600000003</v>
      </c>
      <c r="F6" s="1">
        <f>E6*(1+$B$6)</f>
        <v>331263.03924800002</v>
      </c>
      <c r="G6" s="1">
        <f>F6*(1+$B$6)</f>
        <v>337225.77395446401</v>
      </c>
      <c r="H6" s="1">
        <f>G6*(1+$B$6)</f>
        <v>343295.83788564435</v>
      </c>
    </row>
    <row r="7" spans="1:8" x14ac:dyDescent="0.4">
      <c r="A7" t="s">
        <v>14</v>
      </c>
      <c r="B7" s="2">
        <v>3.1E-2</v>
      </c>
      <c r="C7" s="1">
        <v>395000</v>
      </c>
      <c r="D7" s="1">
        <f>C7*(1+$B$7)</f>
        <v>407244.99999999994</v>
      </c>
      <c r="E7" s="1">
        <f>D7*(1+$B$7)</f>
        <v>419869.59499999991</v>
      </c>
      <c r="F7" s="1">
        <f>E7*(1+$B$7)</f>
        <v>432885.55244499986</v>
      </c>
      <c r="G7" s="1">
        <f>F7*(1+$B$7)</f>
        <v>446305.00457079482</v>
      </c>
      <c r="H7" s="1">
        <f>G7*(1+$B$7)</f>
        <v>460140.45971248939</v>
      </c>
    </row>
    <row r="8" spans="1:8" x14ac:dyDescent="0.4">
      <c r="A8" t="s">
        <v>15</v>
      </c>
      <c r="B8" s="2">
        <v>-1.4999999999999999E-2</v>
      </c>
      <c r="C8" s="1">
        <v>388000</v>
      </c>
      <c r="D8" s="1">
        <f>C8*(1+$B$8)</f>
        <v>382180</v>
      </c>
      <c r="E8" s="1">
        <f>D8*(1+$B$8)</f>
        <v>376447.3</v>
      </c>
      <c r="F8" s="1">
        <f>E8*(1+$B$8)</f>
        <v>370800.59049999999</v>
      </c>
      <c r="G8" s="1">
        <f>F8*(1+$B$8)</f>
        <v>365238.58164250001</v>
      </c>
      <c r="H8" s="1">
        <f>G8*(1+$B$8)</f>
        <v>359760.0029178625</v>
      </c>
    </row>
    <row r="9" spans="1:8" x14ac:dyDescent="0.4">
      <c r="A9" t="s">
        <v>16</v>
      </c>
      <c r="C9" s="1">
        <f>SUM(C6:C8)</f>
        <v>1097000</v>
      </c>
      <c r="D9" s="1">
        <f>SUM(D6:D8)</f>
        <v>1109077</v>
      </c>
      <c r="E9" s="1">
        <f>SUM(E6:E8)</f>
        <v>1121722.6310000001</v>
      </c>
      <c r="F9" s="1">
        <f>SUM(F6:F8)</f>
        <v>1134949.1821929999</v>
      </c>
      <c r="G9" s="1">
        <f>SUM(G6:G8)</f>
        <v>1148769.360167759</v>
      </c>
      <c r="H9" s="1">
        <f>SUM(H6:H8)</f>
        <v>1163196.3005159963</v>
      </c>
    </row>
    <row r="11" spans="1:8" x14ac:dyDescent="0.4">
      <c r="A11" t="s">
        <v>17</v>
      </c>
      <c r="B11" t="s">
        <v>18</v>
      </c>
    </row>
    <row r="12" spans="1:8" x14ac:dyDescent="0.4">
      <c r="A12" t="s">
        <v>19</v>
      </c>
      <c r="B12">
        <v>0.1</v>
      </c>
    </row>
    <row r="13" spans="1:8" x14ac:dyDescent="0.4">
      <c r="A13" t="s">
        <v>20</v>
      </c>
      <c r="B13">
        <v>0.3</v>
      </c>
    </row>
    <row r="14" spans="1:8" x14ac:dyDescent="0.4">
      <c r="A14" t="s">
        <v>21</v>
      </c>
      <c r="B14">
        <v>0.5</v>
      </c>
    </row>
    <row r="15" spans="1:8" x14ac:dyDescent="0.4">
      <c r="A15" t="s">
        <v>22</v>
      </c>
      <c r="B15">
        <v>0.7</v>
      </c>
    </row>
    <row r="16" spans="1:8" x14ac:dyDescent="0.4">
      <c r="A16" t="s">
        <v>23</v>
      </c>
      <c r="C16" s="1">
        <f>ROUND(C9*VLOOKUP("East",A12:B15,2,FALSE),0)</f>
        <v>548500</v>
      </c>
    </row>
    <row r="18" spans="1:3" x14ac:dyDescent="0.4">
      <c r="A18" t="s">
        <v>24</v>
      </c>
      <c r="C18" s="1">
        <f>SUM(C9:H9)</f>
        <v>6774714.4738767557</v>
      </c>
    </row>
    <row r="19" spans="1:3" x14ac:dyDescent="0.4">
      <c r="A19" t="s">
        <v>25</v>
      </c>
      <c r="C19" s="1">
        <f>ROUND(C18/Assumptions!B2,0)</f>
        <v>356564</v>
      </c>
    </row>
    <row r="20" spans="1:3" x14ac:dyDescent="0.4">
      <c r="A20" t="s">
        <v>26</v>
      </c>
      <c r="C20">
        <f>ROUND(Assumptions!B3/AVERAGE(C9:H9),1)</f>
        <v>4.2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F62A6-7FCE-4143-99AB-04AED7DFE29D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19</v>
      </c>
    </row>
    <row r="3" spans="1:2" x14ac:dyDescent="0.4">
      <c r="A3" t="s">
        <v>3</v>
      </c>
      <c r="B3" s="1">
        <v>4700000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2026-09-03T08:10:58Z</dcterms:created>
  <dcterms:modified xsi:type="dcterms:W3CDTF">2026-09-03T08:11:00Z</dcterms:modified>
</cp:coreProperties>
</file>