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nk\Desktop\後藤さんのclaude\ai-builders-2026\gridlint\bench\corpus\"/>
    </mc:Choice>
  </mc:AlternateContent>
  <xr:revisionPtr revIDLastSave="0" documentId="8_{C842D8FC-EAF8-48C9-9340-8C79CB573666}" xr6:coauthVersionLast="47" xr6:coauthVersionMax="47" xr10:uidLastSave="{00000000-0000-0000-0000-000000000000}"/>
  <bookViews>
    <workbookView xWindow="-120" yWindow="-120" windowWidth="29040" windowHeight="15720" xr2:uid="{89E5FC0A-34D8-430D-A6E6-0EB6C90D4D43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6" i="1" l="1"/>
  <c r="E24" i="1"/>
  <c r="D24" i="1"/>
  <c r="C24" i="1"/>
  <c r="E23" i="1"/>
  <c r="D23" i="1"/>
  <c r="C23" i="1"/>
  <c r="E21" i="1"/>
  <c r="D21" i="1"/>
  <c r="C21" i="1"/>
  <c r="E20" i="1"/>
  <c r="D20" i="1"/>
  <c r="E19" i="1"/>
  <c r="D19" i="1"/>
  <c r="E18" i="1"/>
  <c r="D18" i="1"/>
  <c r="E15" i="1"/>
  <c r="D15" i="1"/>
  <c r="C15" i="1"/>
  <c r="E14" i="1"/>
  <c r="D14" i="1"/>
  <c r="E13" i="1"/>
  <c r="D13" i="1"/>
  <c r="E12" i="1"/>
  <c r="D12" i="1"/>
  <c r="E9" i="1"/>
  <c r="D9" i="1"/>
  <c r="C9" i="1"/>
  <c r="E8" i="1"/>
  <c r="D8" i="1"/>
  <c r="E7" i="1"/>
  <c r="D7" i="1"/>
  <c r="E6" i="1"/>
  <c r="D6" i="1"/>
</calcChain>
</file>

<file path=xl/sharedStrings.xml><?xml version="1.0" encoding="utf-8"?>
<sst xmlns="http://schemas.openxmlformats.org/spreadsheetml/2006/main" count="24" uniqueCount="24">
  <si>
    <t>Plan</t>
  </si>
  <si>
    <t>Growth</t>
  </si>
  <si>
    <t>Jan</t>
  </si>
  <si>
    <t>Feb</t>
  </si>
  <si>
    <t>Mar</t>
  </si>
  <si>
    <t>REVENUE</t>
  </si>
  <si>
    <t>Insurance</t>
  </si>
  <si>
    <t>Content</t>
  </si>
  <si>
    <t>Software tools</t>
  </si>
  <si>
    <t>Total revenue</t>
  </si>
  <si>
    <t>COST OF SALES</t>
  </si>
  <si>
    <t>Cloud hosting</t>
  </si>
  <si>
    <t>Advertising</t>
  </si>
  <si>
    <t>Agency fees</t>
  </si>
  <si>
    <t>Total cost of sales</t>
  </si>
  <si>
    <t>OPERATING COSTS</t>
  </si>
  <si>
    <t>Services</t>
  </si>
  <si>
    <t>Contractors</t>
  </si>
  <si>
    <t>Travel</t>
  </si>
  <si>
    <t>Total operating costs</t>
  </si>
  <si>
    <t>Grand total</t>
  </si>
  <si>
    <t>Share of first month</t>
  </si>
  <si>
    <t>Full year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</si>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</sst>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%"/>
    <numFmt numFmtId="180" formatCode="\$#,##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F6CB-1EFA-41C9-9050-326C68E96C88}">
  <dimension ref="A1:G26"/>
  <sheetViews>
    <sheetView tabSelected="1" workbookViewId="0"/>
  </sheetViews>
  <sheetFormatPr defaultRowHeight="18.75" x14ac:dyDescent="0.4"/>
  <cols>
    <col min="1" max="1" width="28.625" customWidth="1"/>
    <col min="3" max="5" width="10.625" bestFit="1" customWidth="1"/>
    <col min="7" max="7" width="0" hidden="1" customWidth="1"/>
  </cols>
  <sheetData>
    <row r="1" spans="1:7" x14ac:dyDescent="0.4">
      <c r="A1" t="s">
        <v>0</v>
      </c>
    </row>
    <row r="3" spans="1:7" x14ac:dyDescent="0.4">
      <c r="B3" t="s">
        <v>1</v>
      </c>
      <c r="C3" t="s">
        <v>2</v>
      </c>
      <c r="D3" t="s">
        <v>3</v>
      </c>
      <c r="E3" t="s">
        <v>4</v>
      </c>
      <c r="G3" t="s">
        <v>23</v>
      </c>
    </row>
    <row r="4" spans="1:7" x14ac:dyDescent="0.4">
      <c r="G4">
        <v>4</v>
      </c>
    </row>
    <row r="5" spans="1:7" x14ac:dyDescent="0.4">
      <c r="A5" t="s">
        <v>5</v>
      </c>
      <c r="G5">
        <v>5</v>
      </c>
    </row>
    <row r="6" spans="1:7" x14ac:dyDescent="0.4">
      <c r="A6" t="s">
        <v>6</v>
      </c>
      <c r="B6" s="1">
        <v>8.6999999999999994E-2</v>
      </c>
      <c r="C6" s="2">
        <v>118000</v>
      </c>
      <c r="D6" s="2">
        <f>C6*(1+$B$6)</f>
        <v>128266</v>
      </c>
      <c r="E6" s="2">
        <f>D6*(1+$B$6)</f>
        <v>139425.14199999999</v>
      </c>
      <c r="G6">
        <v>6</v>
      </c>
    </row>
    <row r="7" spans="1:7" x14ac:dyDescent="0.4">
      <c r="A7" t="s">
        <v>7</v>
      </c>
      <c r="B7" s="1">
        <v>0.04</v>
      </c>
      <c r="C7" s="2">
        <v>258000</v>
      </c>
      <c r="D7" s="2">
        <f>C7*(1+$B$7)</f>
        <v>268320</v>
      </c>
      <c r="E7" s="2">
        <f>D7*(1+$B$7)</f>
        <v>279052.79999999999</v>
      </c>
      <c r="G7">
        <v>7</v>
      </c>
    </row>
    <row r="8" spans="1:7" x14ac:dyDescent="0.4">
      <c r="A8" t="s">
        <v>8</v>
      </c>
      <c r="B8" s="1">
        <v>7.5999999999999998E-2</v>
      </c>
      <c r="C8" s="2">
        <v>193000</v>
      </c>
      <c r="D8" s="2">
        <f>C8*(1+$B$8)</f>
        <v>207668</v>
      </c>
      <c r="E8" s="2">
        <f>D8*(1+$B$8)</f>
        <v>223450.76800000001</v>
      </c>
    </row>
    <row r="9" spans="1:7" x14ac:dyDescent="0.4">
      <c r="A9" t="s">
        <v>9</v>
      </c>
      <c r="C9" s="2">
        <f>SUM(C6:C8)</f>
        <v>569000</v>
      </c>
      <c r="D9" s="2">
        <f>SUM(D6:D8)</f>
        <v>604254</v>
      </c>
      <c r="E9" s="2">
        <f>SUM(E6:E8)</f>
        <v>641928.71</v>
      </c>
    </row>
    <row r="11" spans="1:7" x14ac:dyDescent="0.4">
      <c r="A11" t="s">
        <v>10</v>
      </c>
    </row>
    <row r="12" spans="1:7" x14ac:dyDescent="0.4">
      <c r="A12" t="s">
        <v>11</v>
      </c>
      <c r="B12" s="1">
        <v>2.1000000000000001E-2</v>
      </c>
      <c r="C12" s="2">
        <v>264000</v>
      </c>
      <c r="D12" s="2">
        <f>C12*(1+$B$12)</f>
        <v>269544</v>
      </c>
      <c r="E12" s="2">
        <f>D12*(1+$B$12)</f>
        <v>275204.424</v>
      </c>
    </row>
    <row r="13" spans="1:7" x14ac:dyDescent="0.4">
      <c r="A13" t="s">
        <v>12</v>
      </c>
      <c r="B13" s="1">
        <v>4.9000000000000002E-2</v>
      </c>
      <c r="C13" s="2">
        <v>338000</v>
      </c>
      <c r="D13" s="2">
        <f>C13*(1+$B$13)</f>
        <v>354562</v>
      </c>
      <c r="E13" s="2">
        <f>D13*(1+$B$13)</f>
        <v>371935.538</v>
      </c>
    </row>
    <row r="14" spans="1:7" x14ac:dyDescent="0.4">
      <c r="A14" t="s">
        <v>13</v>
      </c>
      <c r="B14" s="1">
        <v>0.06</v>
      </c>
      <c r="C14" s="2">
        <v>245000</v>
      </c>
      <c r="D14" s="2">
        <f>C14*(1+$B$14)</f>
        <v>259700</v>
      </c>
      <c r="E14" s="2">
        <f>D14*(1+$B$14)</f>
        <v>275282</v>
      </c>
    </row>
    <row r="15" spans="1:7" x14ac:dyDescent="0.4">
      <c r="A15" t="s">
        <v>14</v>
      </c>
      <c r="C15" s="2">
        <f>SUM(C12:C14)</f>
        <v>847000</v>
      </c>
      <c r="D15" s="2">
        <f>SUM(D12:D14)</f>
        <v>883806</v>
      </c>
      <c r="E15" s="2">
        <f>SUM(E12:E14)</f>
        <v>922421.96200000006</v>
      </c>
    </row>
    <row r="17" spans="1:5" x14ac:dyDescent="0.4">
      <c r="A17" t="s">
        <v>15</v>
      </c>
    </row>
    <row r="18" spans="1:5" x14ac:dyDescent="0.4">
      <c r="A18" t="s">
        <v>16</v>
      </c>
      <c r="B18" s="1">
        <v>0.08</v>
      </c>
      <c r="C18" s="2">
        <v>248000</v>
      </c>
      <c r="D18" s="2">
        <f>C18*(1+$B$18)</f>
        <v>267840</v>
      </c>
      <c r="E18" s="2">
        <f>D18*(1+$B$18)</f>
        <v>289267.20000000001</v>
      </c>
    </row>
    <row r="19" spans="1:5" x14ac:dyDescent="0.4">
      <c r="A19" t="s">
        <v>17</v>
      </c>
      <c r="B19" s="1">
        <v>1.2999999999999999E-2</v>
      </c>
      <c r="C19" s="2">
        <v>86000</v>
      </c>
      <c r="D19" s="2">
        <f>C19*(1+$B$19)</f>
        <v>87117.999999999985</v>
      </c>
      <c r="E19" s="2">
        <f>D19*(1+$B$19)</f>
        <v>88250.533999999971</v>
      </c>
    </row>
    <row r="20" spans="1:5" x14ac:dyDescent="0.4">
      <c r="A20" t="s">
        <v>18</v>
      </c>
      <c r="B20" s="1">
        <v>-1.2999999999999999E-2</v>
      </c>
      <c r="C20" s="2">
        <v>24000</v>
      </c>
      <c r="D20" s="2">
        <f>C20*(1+$B$20)</f>
        <v>23688</v>
      </c>
      <c r="E20" s="2">
        <f>D20*(1+$B$20)</f>
        <v>23380.056</v>
      </c>
    </row>
    <row r="21" spans="1:5" x14ac:dyDescent="0.4">
      <c r="A21" t="s">
        <v>19</v>
      </c>
      <c r="C21" s="2">
        <f>SUM(C18:C20)</f>
        <v>358000</v>
      </c>
      <c r="D21" s="2">
        <f>SUM(D18:D20)</f>
        <v>378646</v>
      </c>
      <c r="E21" s="2">
        <f>SUM(E18:E20)</f>
        <v>400897.79</v>
      </c>
    </row>
    <row r="23" spans="1:5" x14ac:dyDescent="0.4">
      <c r="A23" t="s">
        <v>20</v>
      </c>
      <c r="C23" s="2">
        <f>SUM(C9,C15,C21)</f>
        <v>1774000</v>
      </c>
      <c r="D23" s="2">
        <f>SUM(D9,D15,D21)</f>
        <v>1866706</v>
      </c>
      <c r="E23" s="2">
        <f>SUM(E9,E15,E21)</f>
        <v>1965248.4620000001</v>
      </c>
    </row>
    <row r="24" spans="1:5" x14ac:dyDescent="0.4">
      <c r="A24" t="s">
        <v>21</v>
      </c>
      <c r="C24" s="1">
        <f>C23/$C$23</f>
        <v>1</v>
      </c>
      <c r="D24" s="1">
        <f>D23/$C$23</f>
        <v>1.0522581736189403</v>
      </c>
      <c r="E24" s="1">
        <f>E23/$C$23</f>
        <v>1.1078063483652762</v>
      </c>
    </row>
    <row r="26" spans="1:5" x14ac:dyDescent="0.4">
      <c r="A26" t="s">
        <v>22</v>
      </c>
      <c r="C26" s="2">
        <f>SUM(C23:E23)</f>
        <v>5605954.4620000003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　悠介</dc:creator>
  <cp:lastModifiedBy>太田　悠介</cp:lastModifiedBy>
  <dcterms:created xsi:type="dcterms:W3CDTF">2026-09-03T13:35:52Z</dcterms:created>
  <dcterms:modified xsi:type="dcterms:W3CDTF">2026-09-03T13:35:53Z</dcterms:modified>
</cp:coreProperties>
</file>