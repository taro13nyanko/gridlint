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yank\Desktop\後藤さんのclaude\ai-builders-2026\gridlint\bench\corpus\"/>
    </mc:Choice>
  </mc:AlternateContent>
  <xr:revisionPtr revIDLastSave="0" documentId="8_{F568A6A9-D132-4281-8E6F-04D13A1D0D8D}" xr6:coauthVersionLast="47" xr6:coauthVersionMax="47" xr10:uidLastSave="{00000000-0000-0000-0000-000000000000}"/>
  <bookViews>
    <workbookView xWindow="-120" yWindow="-120" windowWidth="29040" windowHeight="15720" xr2:uid="{B7EFD2B0-B1C2-4B52-8687-45C93F298BDF}"/>
  </bookViews>
  <sheets>
    <sheet name="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0" i="1" l="1"/>
  <c r="E18" i="1"/>
  <c r="D18" i="1"/>
  <c r="C18" i="1"/>
  <c r="E16" i="1"/>
  <c r="D16" i="1"/>
  <c r="C16" i="1"/>
  <c r="E15" i="1"/>
  <c r="D15" i="1"/>
  <c r="E14" i="1"/>
  <c r="D14" i="1"/>
  <c r="E13" i="1"/>
  <c r="D13" i="1"/>
  <c r="E12" i="1"/>
  <c r="D12" i="1"/>
  <c r="E11" i="1"/>
  <c r="D11" i="1"/>
  <c r="E9" i="1"/>
  <c r="D9" i="1"/>
  <c r="C9" i="1"/>
  <c r="E8" i="1"/>
  <c r="D8" i="1"/>
  <c r="E7" i="1"/>
  <c r="D7" i="1"/>
  <c r="E6" i="1"/>
  <c r="D6" i="1"/>
  <c r="E5" i="1"/>
  <c r="D5" i="1"/>
</calcChain>
</file>

<file path=xl/sharedStrings.xml><?xml version="1.0" encoding="utf-8"?>
<sst xmlns="http://schemas.openxmlformats.org/spreadsheetml/2006/main" count="20" uniqueCount="20">
  <si>
    <t>Plan</t>
  </si>
  <si>
    <t>Growth</t>
  </si>
  <si>
    <t>Jan</t>
  </si>
  <si>
    <t>Feb</t>
  </si>
  <si>
    <t>Mar</t>
  </si>
  <si>
    <t>REVENUE</t>
  </si>
  <si>
    <t>Content</t>
  </si>
  <si>
    <t>Cloud hosting</t>
  </si>
  <si>
    <t>Training</t>
  </si>
  <si>
    <t>Insurance</t>
  </si>
  <si>
    <t>Total revenue</t>
  </si>
  <si>
    <t>COST OF SALES</t>
  </si>
  <si>
    <t>Events</t>
  </si>
  <si>
    <t>Agency fees</t>
  </si>
  <si>
    <t>Salaries</t>
  </si>
  <si>
    <t>Travel</t>
  </si>
  <si>
    <t>Subscriptions</t>
  </si>
  <si>
    <t>Total cost of sales</t>
  </si>
  <si>
    <t>Grand total</t>
  </si>
  <si>
    <t>Full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</si>
</sst>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0.0%"/>
    <numFmt numFmtId="180" formatCode="\$#,##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4F73C-D5C4-4114-B29C-C92ACE59B5A8}">
  <dimension ref="A1:E20"/>
  <sheetViews>
    <sheetView tabSelected="1" workbookViewId="0"/>
  </sheetViews>
  <sheetFormatPr defaultRowHeight="18.75" x14ac:dyDescent="0.4"/>
  <cols>
    <col min="1" max="1" width="28.625" customWidth="1"/>
    <col min="3" max="3" width="10.625" bestFit="1" customWidth="1"/>
    <col min="4" max="5" width="10.75" bestFit="1" customWidth="1"/>
  </cols>
  <sheetData>
    <row r="1" spans="1:5" x14ac:dyDescent="0.4">
      <c r="A1" t="s">
        <v>0</v>
      </c>
    </row>
    <row r="3" spans="1:5" x14ac:dyDescent="0.4">
      <c r="B3" t="s">
        <v>1</v>
      </c>
      <c r="C3" t="s">
        <v>2</v>
      </c>
      <c r="D3" t="s">
        <v>3</v>
      </c>
      <c r="E3" t="s">
        <v>4</v>
      </c>
    </row>
    <row r="4" spans="1:5" x14ac:dyDescent="0.4">
      <c r="A4" t="s">
        <v>5</v>
      </c>
    </row>
    <row r="5" spans="1:5" x14ac:dyDescent="0.4">
      <c r="A5" t="s">
        <v>6</v>
      </c>
      <c r="B5" s="1">
        <v>7.6999999999999999E-2</v>
      </c>
      <c r="C5" s="2">
        <v>310000</v>
      </c>
      <c r="D5" s="2">
        <f>C5*(1+$B$5)</f>
        <v>333870</v>
      </c>
      <c r="E5" s="2">
        <f>D5*(1+$B$5)</f>
        <v>359577.99</v>
      </c>
    </row>
    <row r="6" spans="1:5" x14ac:dyDescent="0.4">
      <c r="A6" t="s">
        <v>7</v>
      </c>
      <c r="B6" s="1">
        <v>5.8999999999999997E-2</v>
      </c>
      <c r="C6" s="2">
        <v>96000</v>
      </c>
      <c r="D6" s="2">
        <f>C6*(1+$B$6)</f>
        <v>101664</v>
      </c>
      <c r="E6" s="2">
        <f>D6*(1+$B$6)</f>
        <v>107662.17599999999</v>
      </c>
    </row>
    <row r="7" spans="1:5" x14ac:dyDescent="0.4">
      <c r="A7" t="s">
        <v>8</v>
      </c>
      <c r="B7" s="1">
        <v>-0.02</v>
      </c>
      <c r="C7" s="2">
        <v>141000</v>
      </c>
      <c r="D7" s="2">
        <f>C7*(1+$B$7)</f>
        <v>138180</v>
      </c>
      <c r="E7" s="2">
        <f>D7*(1+$B$7)</f>
        <v>135416.4</v>
      </c>
    </row>
    <row r="8" spans="1:5" x14ac:dyDescent="0.4">
      <c r="A8" t="s">
        <v>9</v>
      </c>
      <c r="B8" s="1">
        <v>-1.6E-2</v>
      </c>
      <c r="C8" s="2">
        <v>346000</v>
      </c>
      <c r="D8" s="2">
        <f>C8*(1+$B$8)</f>
        <v>340464</v>
      </c>
      <c r="E8" s="2">
        <f>D8*(1+$B$8)</f>
        <v>335016.576</v>
      </c>
    </row>
    <row r="9" spans="1:5" x14ac:dyDescent="0.4">
      <c r="A9" t="s">
        <v>10</v>
      </c>
      <c r="C9" s="2">
        <f>SUM(C5:C8)</f>
        <v>893000</v>
      </c>
      <c r="D9" s="2">
        <f>SUM(D5:D8)</f>
        <v>914178</v>
      </c>
      <c r="E9" s="2">
        <f>SUM(E5:E8)</f>
        <v>937673.14199999999</v>
      </c>
    </row>
    <row r="10" spans="1:5" x14ac:dyDescent="0.4">
      <c r="A10" t="s">
        <v>11</v>
      </c>
    </row>
    <row r="11" spans="1:5" x14ac:dyDescent="0.4">
      <c r="A11" t="s">
        <v>12</v>
      </c>
      <c r="B11" s="1">
        <v>5.8000000000000003E-2</v>
      </c>
      <c r="C11" s="2">
        <v>206000</v>
      </c>
      <c r="D11" s="2">
        <f>C11*(1+$B$11)</f>
        <v>217948</v>
      </c>
      <c r="E11" s="2">
        <f>D11*(1+$B$11)</f>
        <v>230588.984</v>
      </c>
    </row>
    <row r="12" spans="1:5" x14ac:dyDescent="0.4">
      <c r="A12" t="s">
        <v>13</v>
      </c>
      <c r="B12" s="1">
        <v>7.4999999999999997E-2</v>
      </c>
      <c r="C12" s="2">
        <v>287000</v>
      </c>
      <c r="D12" s="2">
        <f>C12*(1+$B$12)</f>
        <v>308525</v>
      </c>
      <c r="E12" s="2">
        <f>D12*(1+$B$12)</f>
        <v>331664.375</v>
      </c>
    </row>
    <row r="13" spans="1:5" x14ac:dyDescent="0.4">
      <c r="A13" t="s">
        <v>14</v>
      </c>
      <c r="B13" s="1">
        <v>4.4999999999999998E-2</v>
      </c>
      <c r="C13" s="2">
        <v>55000</v>
      </c>
      <c r="D13" s="2">
        <f>C13*(1+$B$13)</f>
        <v>57474.999999999993</v>
      </c>
      <c r="E13" s="2">
        <f>D13*(1+$B$13)</f>
        <v>60061.374999999985</v>
      </c>
    </row>
    <row r="14" spans="1:5" x14ac:dyDescent="0.4">
      <c r="A14" t="s">
        <v>15</v>
      </c>
      <c r="B14" s="1">
        <v>0.06</v>
      </c>
      <c r="C14" s="2">
        <v>46000</v>
      </c>
      <c r="D14" s="2">
        <f>C14*(1+$B$14)</f>
        <v>48760</v>
      </c>
      <c r="E14" s="2">
        <f>D14*(1+$B$14)</f>
        <v>51685.600000000006</v>
      </c>
    </row>
    <row r="15" spans="1:5" x14ac:dyDescent="0.4">
      <c r="A15" t="s">
        <v>16</v>
      </c>
      <c r="B15" s="1">
        <v>-1.9E-2</v>
      </c>
      <c r="C15" s="2">
        <v>378000</v>
      </c>
      <c r="D15" s="2">
        <f>C15*(1+$B$15)</f>
        <v>370818</v>
      </c>
      <c r="E15" s="2">
        <f>D15*(1+$B$15)</f>
        <v>363772.45799999998</v>
      </c>
    </row>
    <row r="16" spans="1:5" x14ac:dyDescent="0.4">
      <c r="A16" t="s">
        <v>17</v>
      </c>
      <c r="C16" s="2">
        <f>SUM(C11:C15)</f>
        <v>972000</v>
      </c>
      <c r="D16" s="2">
        <f>SUM(D11:D15)</f>
        <v>1003526</v>
      </c>
      <c r="E16" s="2">
        <f>SUM(E11:E15)</f>
        <v>1037772.7919999999</v>
      </c>
    </row>
    <row r="18" spans="1:5" x14ac:dyDescent="0.4">
      <c r="A18" t="s">
        <v>18</v>
      </c>
      <c r="C18" s="2">
        <f>SUM(C9,C16)</f>
        <v>1865000</v>
      </c>
      <c r="D18" s="2">
        <f>SUM(D9,D16)</f>
        <v>1917704</v>
      </c>
      <c r="E18" s="2">
        <f>SUM(E9,E16)</f>
        <v>1975445.9339999999</v>
      </c>
    </row>
    <row r="20" spans="1:5" x14ac:dyDescent="0.4">
      <c r="A20" t="s">
        <v>19</v>
      </c>
      <c r="C20" s="2">
        <f>SUM(C18:E18)</f>
        <v>5758149.9340000004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太田　悠介</dc:creator>
  <cp:lastModifiedBy>太田　悠介</cp:lastModifiedBy>
  <dcterms:created xsi:type="dcterms:W3CDTF">2026-09-03T13:35:36Z</dcterms:created>
  <dcterms:modified xsi:type="dcterms:W3CDTF">2026-09-03T13:35:36Z</dcterms:modified>
</cp:coreProperties>
</file>