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yank\Desktop\後藤さんのclaude\ai-builders-2026\gridlint\bench\corpus\"/>
    </mc:Choice>
  </mc:AlternateContent>
  <xr:revisionPtr revIDLastSave="0" documentId="8_{2EC6F598-C66C-4205-A0DE-EA66E4EEFA3C}" xr6:coauthVersionLast="47" xr6:coauthVersionMax="47" xr10:uidLastSave="{00000000-0000-0000-0000-000000000000}"/>
  <bookViews>
    <workbookView xWindow="-120" yWindow="-120" windowWidth="29040" windowHeight="15720" xr2:uid="{2D0549D1-F949-4889-ADD6-4D7AD1C52065}"/>
  </bookViews>
  <sheets>
    <sheet name="Mode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8" i="1" l="1"/>
  <c r="H16" i="1"/>
  <c r="G16" i="1"/>
  <c r="F16" i="1"/>
  <c r="E16" i="1"/>
  <c r="D16" i="1"/>
  <c r="C16" i="1"/>
  <c r="H14" i="1"/>
  <c r="G14" i="1"/>
  <c r="F14" i="1"/>
  <c r="E14" i="1"/>
  <c r="D14" i="1"/>
  <c r="C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9" i="1"/>
  <c r="G9" i="1"/>
  <c r="F9" i="1"/>
  <c r="E9" i="1"/>
  <c r="D9" i="1"/>
  <c r="C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H5" i="1"/>
  <c r="G5" i="1"/>
  <c r="F5" i="1"/>
  <c r="E5" i="1"/>
  <c r="D5" i="1"/>
</calcChain>
</file>

<file path=xl/sharedStrings.xml><?xml version="1.0" encoding="utf-8"?>
<sst xmlns="http://schemas.openxmlformats.org/spreadsheetml/2006/main" count="21" uniqueCount="21">
  <si>
    <t>Plan</t>
  </si>
  <si>
    <t>Growth</t>
  </si>
  <si>
    <t>Jan</t>
  </si>
  <si>
    <t>Feb</t>
  </si>
  <si>
    <t>Mar</t>
  </si>
  <si>
    <t>Apr</t>
  </si>
  <si>
    <t>May</t>
  </si>
  <si>
    <t>Jun</t>
  </si>
  <si>
    <t>REVENUE</t>
  </si>
  <si>
    <t>Insurance</t>
  </si>
  <si>
    <t>Events</t>
  </si>
  <si>
    <t>Sponsorships</t>
  </si>
  <si>
    <t>Software tools</t>
  </si>
  <si>
    <t>Total revenue</t>
  </si>
  <si>
    <t>COST OF SALES</t>
  </si>
  <si>
    <t>Subscriptions</t>
  </si>
  <si>
    <t>Benefits</t>
  </si>
  <si>
    <t>Services</t>
  </si>
  <si>
    <t>Total cost of sales</t>
  </si>
  <si>
    <t>Grand total</t>
  </si>
  <si>
    <t>Full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</si>
</sst>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9" formatCode="0.0%"/>
    <numFmt numFmtId="180" formatCode="\$#,##0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62F6-0DEE-47EF-BCB8-50E583C07494}">
  <dimension ref="A1:H18"/>
  <sheetViews>
    <sheetView tabSelected="1" workbookViewId="0"/>
  </sheetViews>
  <sheetFormatPr defaultRowHeight="18.75" x14ac:dyDescent="0.4"/>
  <cols>
    <col min="1" max="1" width="28.625" customWidth="1"/>
    <col min="3" max="4" width="10.625" bestFit="1" customWidth="1"/>
    <col min="5" max="8" width="10.75" bestFit="1" customWidth="1"/>
  </cols>
  <sheetData>
    <row r="1" spans="1:8" x14ac:dyDescent="0.4">
      <c r="A1" t="s">
        <v>0</v>
      </c>
    </row>
    <row r="3" spans="1:8" x14ac:dyDescent="0.4"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</row>
    <row r="4" spans="1:8" x14ac:dyDescent="0.4">
      <c r="A4" t="s">
        <v>8</v>
      </c>
    </row>
    <row r="5" spans="1:8" x14ac:dyDescent="0.4">
      <c r="A5" t="s">
        <v>9</v>
      </c>
      <c r="B5" s="1">
        <v>-0.02</v>
      </c>
      <c r="C5" s="2">
        <v>141000</v>
      </c>
      <c r="D5" s="2">
        <f>C5*(1+$B$5)</f>
        <v>138180</v>
      </c>
      <c r="E5" s="2">
        <f>D5*(1+$B$5)</f>
        <v>135416.4</v>
      </c>
      <c r="F5" s="2">
        <f>E5*(1+$B$5)</f>
        <v>132708.07199999999</v>
      </c>
      <c r="G5" s="2">
        <f>F5*(1+$B$5)</f>
        <v>130053.91055999999</v>
      </c>
      <c r="H5" s="2">
        <f>G5*(1+$B$5)</f>
        <v>127452.83234879999</v>
      </c>
    </row>
    <row r="6" spans="1:8" x14ac:dyDescent="0.4">
      <c r="A6" t="s">
        <v>10</v>
      </c>
      <c r="B6" s="1">
        <v>-1.6E-2</v>
      </c>
      <c r="C6" s="2">
        <v>346000</v>
      </c>
      <c r="D6" s="2">
        <f>C6*(1+$B$6)</f>
        <v>340464</v>
      </c>
      <c r="E6" s="2">
        <f>D6*(1+$B$6)</f>
        <v>335016.576</v>
      </c>
      <c r="F6" s="2">
        <f>E6*(1+$B$6)</f>
        <v>329656.31078399997</v>
      </c>
      <c r="G6" s="2">
        <f>F6*(1+$B$6)</f>
        <v>324381.80981145595</v>
      </c>
      <c r="H6" s="2">
        <f>G6*(1+$B$6)</f>
        <v>319191.70085447264</v>
      </c>
    </row>
    <row r="7" spans="1:8" x14ac:dyDescent="0.4">
      <c r="A7" t="s">
        <v>11</v>
      </c>
      <c r="B7" s="1">
        <v>8.0000000000000002E-3</v>
      </c>
      <c r="C7" s="2">
        <v>206000</v>
      </c>
      <c r="D7" s="2">
        <f>C7*(1+$B$7)</f>
        <v>207648</v>
      </c>
      <c r="E7" s="2">
        <f>D7*(1+$B$7)</f>
        <v>209309.18400000001</v>
      </c>
      <c r="F7" s="2">
        <f>E7*(1+$B$7)</f>
        <v>210983.65747200002</v>
      </c>
      <c r="G7" s="2">
        <f>F7*(1+$B$7)</f>
        <v>212671.52673177602</v>
      </c>
      <c r="H7" s="2">
        <f>G7*(1+$B$7)</f>
        <v>214372.89894563024</v>
      </c>
    </row>
    <row r="8" spans="1:8" x14ac:dyDescent="0.4">
      <c r="A8" t="s">
        <v>12</v>
      </c>
      <c r="B8" s="1">
        <v>7.4999999999999997E-2</v>
      </c>
      <c r="C8" s="2">
        <v>287000</v>
      </c>
      <c r="D8" s="2">
        <f>C8*(1+$B$8)</f>
        <v>308525</v>
      </c>
      <c r="E8" s="2">
        <f>D8*(1+$B$8)</f>
        <v>331664.375</v>
      </c>
      <c r="F8" s="2">
        <f>E8*(1+$B$8)</f>
        <v>356539.203125</v>
      </c>
      <c r="G8" s="2">
        <f>F8*(1+$B$8)</f>
        <v>383279.64335937501</v>
      </c>
      <c r="H8" s="2">
        <f>G8*(1+$B$8)</f>
        <v>412025.61661132809</v>
      </c>
    </row>
    <row r="9" spans="1:8" x14ac:dyDescent="0.4">
      <c r="A9" t="s">
        <v>13</v>
      </c>
      <c r="C9" s="2">
        <f>SUM(C5:C8)</f>
        <v>980000</v>
      </c>
      <c r="D9" s="2">
        <f>SUM(D5:D8)</f>
        <v>994817</v>
      </c>
      <c r="E9" s="2">
        <f>SUM(E5:E8)</f>
        <v>1011406.535</v>
      </c>
      <c r="F9" s="2">
        <f>SUM(F5:F8)</f>
        <v>1029887.243381</v>
      </c>
      <c r="G9" s="2">
        <f>SUM(G5:G8)</f>
        <v>1050386.8904626069</v>
      </c>
      <c r="H9" s="2">
        <f>SUM(H5:H8)</f>
        <v>1073043.0487602311</v>
      </c>
    </row>
    <row r="10" spans="1:8" x14ac:dyDescent="0.4">
      <c r="A10" t="s">
        <v>14</v>
      </c>
    </row>
    <row r="11" spans="1:8" x14ac:dyDescent="0.4">
      <c r="A11" t="s">
        <v>15</v>
      </c>
      <c r="B11" s="1">
        <v>0.06</v>
      </c>
      <c r="C11" s="2">
        <v>46000</v>
      </c>
      <c r="D11" s="2">
        <f>C11*(1+$B$11)</f>
        <v>48760</v>
      </c>
      <c r="E11" s="2">
        <f>D11*(1+$B$11)</f>
        <v>51685.600000000006</v>
      </c>
      <c r="F11" s="2">
        <f>E11*(1+$B$11)</f>
        <v>54786.736000000012</v>
      </c>
      <c r="G11" s="2">
        <f>F11*(1+$B$11)</f>
        <v>58073.940160000013</v>
      </c>
      <c r="H11" s="2">
        <f>G11*(1+$B$11)</f>
        <v>61558.376569600019</v>
      </c>
    </row>
    <row r="12" spans="1:8" x14ac:dyDescent="0.4">
      <c r="A12" t="s">
        <v>16</v>
      </c>
      <c r="B12" s="1">
        <v>-1.9E-2</v>
      </c>
      <c r="C12" s="2">
        <v>378000</v>
      </c>
      <c r="D12" s="2">
        <f>C12*(1+$B$12)</f>
        <v>370818</v>
      </c>
      <c r="E12" s="2">
        <f>D12*(1+$B$12)</f>
        <v>363772.45799999998</v>
      </c>
      <c r="F12" s="2">
        <f>E12*(1+$B$12)</f>
        <v>356860.78129799996</v>
      </c>
      <c r="G12" s="2">
        <f>F12*(1+$B$12)</f>
        <v>350080.42645333795</v>
      </c>
      <c r="H12" s="2">
        <f>G12*(1+$B$12)</f>
        <v>343428.89835072454</v>
      </c>
    </row>
    <row r="13" spans="1:8" x14ac:dyDescent="0.4">
      <c r="A13" t="s">
        <v>17</v>
      </c>
      <c r="B13" s="1">
        <v>8.2000000000000003E-2</v>
      </c>
      <c r="C13" s="2">
        <v>54000</v>
      </c>
      <c r="D13" s="2">
        <f>C13*(1+$B$13)</f>
        <v>58428.000000000007</v>
      </c>
      <c r="E13" s="2">
        <f>D13*(1+$B$13)</f>
        <v>63219.096000000012</v>
      </c>
      <c r="F13" s="2">
        <f>E13*(1+$B$13)</f>
        <v>68403.06187200002</v>
      </c>
      <c r="G13" s="2">
        <f>F13*(1+$B$13)</f>
        <v>74012.112945504021</v>
      </c>
      <c r="H13" s="2">
        <f>G13*(1+$B$13)</f>
        <v>80081.106207035351</v>
      </c>
    </row>
    <row r="14" spans="1:8" x14ac:dyDescent="0.4">
      <c r="A14" t="s">
        <v>18</v>
      </c>
      <c r="C14" s="2">
        <f>SUM(C11:C13)</f>
        <v>478000</v>
      </c>
      <c r="D14" s="2">
        <f>SUM(D11:D13)</f>
        <v>478006</v>
      </c>
      <c r="E14" s="2">
        <f>SUM(E11:E13)</f>
        <v>478677.15399999998</v>
      </c>
      <c r="F14" s="2">
        <f>SUM(F11:F13)</f>
        <v>480050.57917000004</v>
      </c>
      <c r="G14" s="2">
        <f>SUM(G11:G13)</f>
        <v>482166.47955884197</v>
      </c>
      <c r="H14" s="2">
        <f>SUM(H11:H13)</f>
        <v>485068.38112735993</v>
      </c>
    </row>
    <row r="16" spans="1:8" x14ac:dyDescent="0.4">
      <c r="A16" t="s">
        <v>19</v>
      </c>
      <c r="C16" s="2">
        <f>SUM(C9,C14)</f>
        <v>1458000</v>
      </c>
      <c r="D16" s="2">
        <f>SUM(D9,D14)</f>
        <v>1472823</v>
      </c>
      <c r="E16" s="2">
        <f>SUM(E9,E14)</f>
        <v>1490083.689</v>
      </c>
      <c r="F16" s="2">
        <f>SUM(F9,F14)</f>
        <v>1509937.8225509999</v>
      </c>
      <c r="G16" s="2">
        <f>SUM(G9,G14)</f>
        <v>1532553.3700214489</v>
      </c>
      <c r="H16" s="2">
        <f>SUM(H9,H14)</f>
        <v>1558111.4298875909</v>
      </c>
    </row>
    <row r="18" spans="1:3" x14ac:dyDescent="0.4">
      <c r="A18" t="s">
        <v>20</v>
      </c>
      <c r="C18" s="2">
        <f>SUM(C16:H16)</f>
        <v>9021509.3114600405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太田　悠介</dc:creator>
  <cp:lastModifiedBy>太田　悠介</cp:lastModifiedBy>
  <dcterms:created xsi:type="dcterms:W3CDTF">2026-09-03T08:10:27Z</dcterms:created>
  <dcterms:modified xsi:type="dcterms:W3CDTF">2026-09-03T08:10:29Z</dcterms:modified>
</cp:coreProperties>
</file>