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bench\corpus\"/>
    </mc:Choice>
  </mc:AlternateContent>
  <xr:revisionPtr revIDLastSave="0" documentId="8_{ACB0DDE8-6C3E-47F8-A455-57A8B934AC9A}" xr6:coauthVersionLast="47" xr6:coauthVersionMax="47" xr10:uidLastSave="{00000000-0000-0000-0000-000000000000}"/>
  <bookViews>
    <workbookView xWindow="-120" yWindow="-120" windowWidth="29040" windowHeight="15720" xr2:uid="{AD819745-A7BA-4B1F-9B7B-81C84C8AC8B3}"/>
  </bookViews>
  <sheets>
    <sheet name="Model" sheetId="2" r:id="rId1"/>
    <sheet name="Assumption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8" i="2" l="1"/>
  <c r="C37" i="2"/>
  <c r="C36" i="2"/>
  <c r="C34" i="2"/>
  <c r="H27" i="2"/>
  <c r="G27" i="2"/>
  <c r="F27" i="2"/>
  <c r="E27" i="2"/>
  <c r="D27" i="2"/>
  <c r="C27" i="2"/>
  <c r="H26" i="2"/>
  <c r="G26" i="2"/>
  <c r="F26" i="2"/>
  <c r="E26" i="2"/>
  <c r="D26" i="2"/>
  <c r="C26" i="2"/>
  <c r="H24" i="2"/>
  <c r="G24" i="2"/>
  <c r="F24" i="2"/>
  <c r="E24" i="2"/>
  <c r="D24" i="2"/>
  <c r="C24" i="2"/>
  <c r="H23" i="2"/>
  <c r="G23" i="2"/>
  <c r="F23" i="2"/>
  <c r="E23" i="2"/>
  <c r="D23" i="2"/>
  <c r="H22" i="2"/>
  <c r="G22" i="2"/>
  <c r="F22" i="2"/>
  <c r="E22" i="2"/>
  <c r="D22" i="2"/>
  <c r="H21" i="2"/>
  <c r="G21" i="2"/>
  <c r="F21" i="2"/>
  <c r="E21" i="2"/>
  <c r="D21" i="2"/>
  <c r="H20" i="2"/>
  <c r="G20" i="2"/>
  <c r="F20" i="2"/>
  <c r="E20" i="2"/>
  <c r="D20" i="2"/>
  <c r="H17" i="2"/>
  <c r="G17" i="2"/>
  <c r="F17" i="2"/>
  <c r="E17" i="2"/>
  <c r="D17" i="2"/>
  <c r="C17" i="2"/>
  <c r="H16" i="2"/>
  <c r="G16" i="2"/>
  <c r="F16" i="2"/>
  <c r="E16" i="2"/>
  <c r="D16" i="2"/>
  <c r="H15" i="2"/>
  <c r="G15" i="2"/>
  <c r="F15" i="2"/>
  <c r="E15" i="2"/>
  <c r="D15" i="2"/>
  <c r="H14" i="2"/>
  <c r="G14" i="2"/>
  <c r="F14" i="2"/>
  <c r="E14" i="2"/>
  <c r="D14" i="2"/>
  <c r="H13" i="2"/>
  <c r="G13" i="2"/>
  <c r="F13" i="2"/>
  <c r="E13" i="2"/>
  <c r="D13" i="2"/>
  <c r="H10" i="2"/>
  <c r="G10" i="2"/>
  <c r="F10" i="2"/>
  <c r="E10" i="2"/>
  <c r="D10" i="2"/>
  <c r="C10" i="2"/>
  <c r="H9" i="2"/>
  <c r="G9" i="2"/>
  <c r="F9" i="2"/>
  <c r="E9" i="2"/>
  <c r="D9" i="2"/>
  <c r="H8" i="2"/>
  <c r="G8" i="2"/>
  <c r="F8" i="2"/>
  <c r="E8" i="2"/>
  <c r="D8" i="2"/>
  <c r="H7" i="2"/>
  <c r="G7" i="2"/>
  <c r="F7" i="2"/>
  <c r="E7" i="2"/>
  <c r="D7" i="2"/>
  <c r="H6" i="2"/>
  <c r="G6" i="2"/>
  <c r="F6" i="2"/>
  <c r="E6" i="2"/>
  <c r="D6" i="2"/>
</calcChain>
</file>

<file path=xl/sharedStrings.xml><?xml version="1.0" encoding="utf-8"?>
<sst xmlns="http://schemas.openxmlformats.org/spreadsheetml/2006/main" count="42" uniqueCount="42">
  <si>
    <t>Assumption</t>
  </si>
  <si>
    <t>Value</t>
  </si>
  <si>
    <t>Headcount</t>
  </si>
  <si>
    <t>Cash on hand</t>
  </si>
  <si>
    <t>Plan</t>
  </si>
  <si>
    <t>Growth</t>
  </si>
  <si>
    <t>Jan</t>
  </si>
  <si>
    <t>Feb</t>
  </si>
  <si>
    <t>Mar</t>
  </si>
  <si>
    <t>Apr</t>
  </si>
  <si>
    <t>May</t>
  </si>
  <si>
    <t>Jun</t>
  </si>
  <si>
    <t>REVENUE</t>
  </si>
  <si>
    <t>Office rent</t>
  </si>
  <si>
    <t>Software tools</t>
  </si>
  <si>
    <t>Agency fees</t>
  </si>
  <si>
    <t>Travel</t>
  </si>
  <si>
    <t>Total revenue</t>
  </si>
  <si>
    <t>COST OF SALES</t>
  </si>
  <si>
    <t>Events</t>
  </si>
  <si>
    <t>Sponsorships</t>
  </si>
  <si>
    <t>Contractors</t>
  </si>
  <si>
    <t>Salaries</t>
  </si>
  <si>
    <t>Total cost of sales</t>
  </si>
  <si>
    <t>OPERATING COSTS</t>
  </si>
  <si>
    <t>Subscriptions</t>
  </si>
  <si>
    <t>Recruiting</t>
  </si>
  <si>
    <t>Insurance</t>
  </si>
  <si>
    <t>Services</t>
  </si>
  <si>
    <t>Total operating costs</t>
  </si>
  <si>
    <t>Grand total</t>
  </si>
  <si>
    <t>Share of first month</t>
  </si>
  <si>
    <t>Region</t>
  </si>
  <si>
    <t>Weight</t>
  </si>
  <si>
    <t>North</t>
  </si>
  <si>
    <t>South</t>
  </si>
  <si>
    <t>East</t>
  </si>
  <si>
    <t>West</t>
  </si>
  <si>
    <t>Weighted first month</t>
  </si>
  <si>
    <t>Full year</t>
  </si>
  <si>
    <t>Per head</t>
  </si>
  <si>
    <t>Months of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</si>
</sst>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\$#,##0"/>
    <numFmt numFmtId="180" formatCode="0.0%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B7D78-CFEF-4500-BB58-202CA13F5BA3}">
  <dimension ref="A1:H38"/>
  <sheetViews>
    <sheetView tabSelected="1" workbookViewId="0"/>
  </sheetViews>
  <sheetFormatPr defaultRowHeight="18.75" x14ac:dyDescent="0.4"/>
  <cols>
    <col min="1" max="1" width="28.625" customWidth="1"/>
    <col min="3" max="3" width="11.75" bestFit="1" customWidth="1"/>
    <col min="4" max="7" width="10.625" bestFit="1" customWidth="1"/>
    <col min="8" max="8" width="10.75" bestFit="1" customWidth="1"/>
  </cols>
  <sheetData>
    <row r="1" spans="1:8" x14ac:dyDescent="0.4">
      <c r="A1" t="s">
        <v>4</v>
      </c>
    </row>
    <row r="3" spans="1:8" x14ac:dyDescent="0.4"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</row>
    <row r="5" spans="1:8" x14ac:dyDescent="0.4">
      <c r="A5" t="s">
        <v>12</v>
      </c>
    </row>
    <row r="6" spans="1:8" x14ac:dyDescent="0.4">
      <c r="A6" t="s">
        <v>13</v>
      </c>
      <c r="B6" s="2">
        <v>5.2999999999999999E-2</v>
      </c>
      <c r="C6" s="1">
        <v>19000</v>
      </c>
      <c r="D6" s="1">
        <f>C6*(1+$B$6)</f>
        <v>20007</v>
      </c>
      <c r="E6" s="1">
        <f>D6*(1+$B$6)</f>
        <v>21067.370999999999</v>
      </c>
      <c r="F6" s="1">
        <f>E6*(1+$B$6)</f>
        <v>22183.941662999998</v>
      </c>
      <c r="G6" s="1">
        <f>F6*(1+$B$6)</f>
        <v>23359.690571138995</v>
      </c>
      <c r="H6" s="1">
        <f>G6*(1+$B$6)</f>
        <v>24597.75417140936</v>
      </c>
    </row>
    <row r="7" spans="1:8" x14ac:dyDescent="0.4">
      <c r="A7" t="s">
        <v>14</v>
      </c>
      <c r="B7" s="2">
        <v>0.06</v>
      </c>
      <c r="C7" s="1">
        <v>97000</v>
      </c>
      <c r="D7" s="1">
        <f>C7*(1+$B$7)</f>
        <v>102820</v>
      </c>
      <c r="E7" s="1">
        <f>D7*(1+$B$7)</f>
        <v>108989.20000000001</v>
      </c>
      <c r="F7" s="1">
        <f>E7*(1+$B$7)</f>
        <v>115528.55200000003</v>
      </c>
      <c r="G7" s="1">
        <f>F7*(1+$B$7)</f>
        <v>122460.26512000004</v>
      </c>
      <c r="H7" s="1">
        <f>G7*(1+$B$7)</f>
        <v>129807.88102720006</v>
      </c>
    </row>
    <row r="8" spans="1:8" x14ac:dyDescent="0.4">
      <c r="A8" t="s">
        <v>15</v>
      </c>
      <c r="B8" s="2">
        <v>1.2999999999999999E-2</v>
      </c>
      <c r="C8" s="1">
        <v>113000</v>
      </c>
      <c r="D8" s="1">
        <f>C8*(1+$B$8)</f>
        <v>114468.99999999999</v>
      </c>
      <c r="E8" s="1">
        <f>D8*(1+$B$8)</f>
        <v>115957.09699999998</v>
      </c>
      <c r="F8" s="1">
        <f>E8*(1+$B$8)</f>
        <v>117464.53926099997</v>
      </c>
      <c r="G8" s="1">
        <f>F8*(1+$B$8)</f>
        <v>118991.57827139295</v>
      </c>
      <c r="H8" s="1">
        <f>G8*(1+$B$8)</f>
        <v>120538.46878892105</v>
      </c>
    </row>
    <row r="9" spans="1:8" x14ac:dyDescent="0.4">
      <c r="A9" t="s">
        <v>16</v>
      </c>
      <c r="B9" s="2">
        <v>4.4999999999999998E-2</v>
      </c>
      <c r="C9" s="1">
        <v>25000</v>
      </c>
      <c r="D9" s="1">
        <f>C9*(1+$B$9)</f>
        <v>26125</v>
      </c>
      <c r="E9" s="1">
        <f>D9*(1+$B$9)</f>
        <v>27300.624999999996</v>
      </c>
      <c r="F9" s="1">
        <f>E9*(1+$B$9)</f>
        <v>28529.153124999993</v>
      </c>
      <c r="G9" s="1">
        <f>F9*(1+$B$9)</f>
        <v>29812.965015624992</v>
      </c>
      <c r="H9" s="1">
        <f>G9*(1+$B$9)</f>
        <v>31154.548441328116</v>
      </c>
    </row>
    <row r="10" spans="1:8" x14ac:dyDescent="0.4">
      <c r="A10" t="s">
        <v>17</v>
      </c>
      <c r="C10" s="1">
        <f>SUM(C6:C9)</f>
        <v>254000</v>
      </c>
      <c r="D10" s="1">
        <f>SUM(D6:D9)</f>
        <v>263421</v>
      </c>
      <c r="E10" s="1">
        <f>SUM(E6:E9)</f>
        <v>273314.29300000001</v>
      </c>
      <c r="F10" s="1">
        <f>SUM(F6:F9)</f>
        <v>283706.18604900001</v>
      </c>
      <c r="G10" s="1">
        <f>SUM(G6:G9)</f>
        <v>294624.498978157</v>
      </c>
      <c r="H10" s="1">
        <f>SUM(H6:H9)</f>
        <v>306098.65242885856</v>
      </c>
    </row>
    <row r="12" spans="1:8" x14ac:dyDescent="0.4">
      <c r="A12" t="s">
        <v>18</v>
      </c>
    </row>
    <row r="13" spans="1:8" x14ac:dyDescent="0.4">
      <c r="A13" t="s">
        <v>19</v>
      </c>
      <c r="B13" s="2">
        <v>6.4000000000000001E-2</v>
      </c>
      <c r="C13" s="1">
        <v>100000</v>
      </c>
      <c r="D13" s="1">
        <f>C13*(1+$B$13)</f>
        <v>106400</v>
      </c>
      <c r="E13" s="1">
        <f>D13*(1+$B$13)</f>
        <v>113209.60000000001</v>
      </c>
      <c r="F13" s="1">
        <f>E13*(1+$B$13)</f>
        <v>120455.01440000001</v>
      </c>
      <c r="G13" s="1">
        <f>F13*(1+$B$13)</f>
        <v>128164.13532160003</v>
      </c>
      <c r="H13" s="1">
        <f>G13*(1+$B$13)</f>
        <v>136366.63998218245</v>
      </c>
    </row>
    <row r="14" spans="1:8" x14ac:dyDescent="0.4">
      <c r="A14" t="s">
        <v>20</v>
      </c>
      <c r="B14" s="2">
        <v>0.03</v>
      </c>
      <c r="C14" s="1">
        <v>111000</v>
      </c>
      <c r="D14" s="1">
        <f>C14*(1+$B$14)</f>
        <v>114330</v>
      </c>
      <c r="E14" s="1">
        <f>D14*(1+$B$14)</f>
        <v>117759.90000000001</v>
      </c>
      <c r="F14" s="1">
        <f>E14*(1+$B$14)</f>
        <v>121292.69700000001</v>
      </c>
      <c r="G14" s="1">
        <f>F14*(1+$B$14)</f>
        <v>124931.47791000002</v>
      </c>
      <c r="H14" s="1">
        <f>G14*(1+$B$14)</f>
        <v>128679.42224730003</v>
      </c>
    </row>
    <row r="15" spans="1:8" x14ac:dyDescent="0.4">
      <c r="A15" t="s">
        <v>21</v>
      </c>
      <c r="B15" s="2">
        <v>7.0000000000000001E-3</v>
      </c>
      <c r="C15" s="1">
        <v>48000</v>
      </c>
      <c r="D15" s="1">
        <f>C15*(1+$B$15)</f>
        <v>48335.999999999993</v>
      </c>
      <c r="E15" s="1">
        <f>D15*(1+$B$15)</f>
        <v>48674.351999999984</v>
      </c>
      <c r="F15" s="1">
        <f>E15*(1+$B$15)</f>
        <v>49015.072463999983</v>
      </c>
      <c r="G15" s="1">
        <f>F15*(1+$B$15)</f>
        <v>49358.177971247977</v>
      </c>
      <c r="H15" s="1">
        <f>G15*(1+$B$15)</f>
        <v>49703.68521704671</v>
      </c>
    </row>
    <row r="16" spans="1:8" x14ac:dyDescent="0.4">
      <c r="A16" t="s">
        <v>22</v>
      </c>
      <c r="B16" s="2">
        <v>8.2000000000000003E-2</v>
      </c>
      <c r="C16" s="1">
        <v>219000</v>
      </c>
      <c r="D16" s="1">
        <f>C16*(1+$B$16)</f>
        <v>236958.00000000003</v>
      </c>
      <c r="E16" s="1">
        <f>D16*(1+$B$16)</f>
        <v>256388.55600000004</v>
      </c>
      <c r="F16" s="1">
        <f>E16*(1+$B$16)</f>
        <v>277412.41759200004</v>
      </c>
      <c r="G16" s="1">
        <f>F16*(1+$B$16)</f>
        <v>300160.23583454406</v>
      </c>
      <c r="H16" s="1">
        <f>G16*(1+$B$16)</f>
        <v>324773.3751729767</v>
      </c>
    </row>
    <row r="17" spans="1:8" x14ac:dyDescent="0.4">
      <c r="A17" t="s">
        <v>23</v>
      </c>
      <c r="C17" s="1">
        <f>SUM(C13:C16)</f>
        <v>478000</v>
      </c>
      <c r="D17" s="1">
        <f>SUM(D13:D16)</f>
        <v>506024</v>
      </c>
      <c r="E17" s="1">
        <f>SUM(E13:E16)</f>
        <v>536032.40800000005</v>
      </c>
      <c r="F17" s="1">
        <f>SUM(F13:F16)</f>
        <v>568175.2014560001</v>
      </c>
      <c r="G17" s="1">
        <f>SUM(G13:G16)</f>
        <v>602614.02703739214</v>
      </c>
      <c r="H17" s="1">
        <f>SUM(H13:H16)</f>
        <v>639523.12261950586</v>
      </c>
    </row>
    <row r="19" spans="1:8" x14ac:dyDescent="0.4">
      <c r="A19" t="s">
        <v>24</v>
      </c>
    </row>
    <row r="20" spans="1:8" x14ac:dyDescent="0.4">
      <c r="A20" t="s">
        <v>25</v>
      </c>
      <c r="B20" s="2">
        <v>4.1000000000000002E-2</v>
      </c>
      <c r="C20" s="1">
        <v>127000</v>
      </c>
      <c r="D20" s="1">
        <f>C20*(1+$B$20)</f>
        <v>132207</v>
      </c>
      <c r="E20" s="1">
        <f>D20*(1+$B$20)</f>
        <v>137627.48699999999</v>
      </c>
      <c r="F20" s="1">
        <f>E20*(1+$B$20)</f>
        <v>143270.21396699999</v>
      </c>
      <c r="G20" s="1">
        <f>F20*(1+$B$20)</f>
        <v>149144.29273964697</v>
      </c>
      <c r="H20" s="1">
        <f>G20*(1+$B$20)</f>
        <v>155259.20874197248</v>
      </c>
    </row>
    <row r="21" spans="1:8" x14ac:dyDescent="0.4">
      <c r="A21" t="s">
        <v>26</v>
      </c>
      <c r="B21" s="2">
        <v>5.3999999999999999E-2</v>
      </c>
      <c r="C21" s="1">
        <v>312000</v>
      </c>
      <c r="D21" s="1">
        <f>C21*(1+$B$21)</f>
        <v>328848</v>
      </c>
      <c r="E21" s="1">
        <f>D21*(1+$B$21)</f>
        <v>346605.79200000002</v>
      </c>
      <c r="F21" s="1">
        <f>E21*(1+$B$21)</f>
        <v>365322.50476800004</v>
      </c>
      <c r="G21" s="1">
        <f>F21*(1+$B$21)</f>
        <v>385049.92002547206</v>
      </c>
      <c r="H21" s="1">
        <f>G21*(1+$B$21)</f>
        <v>405842.61570684757</v>
      </c>
    </row>
    <row r="22" spans="1:8" x14ac:dyDescent="0.4">
      <c r="A22" t="s">
        <v>27</v>
      </c>
      <c r="B22" s="2">
        <v>7.0000000000000007E-2</v>
      </c>
      <c r="C22" s="1">
        <v>284000</v>
      </c>
      <c r="D22" s="1">
        <f>C22*(1+$B$22)</f>
        <v>303880</v>
      </c>
      <c r="E22" s="1">
        <f>D22*(1+$B$22)</f>
        <v>325151.60000000003</v>
      </c>
      <c r="F22" s="1">
        <f>E22*(1+$B$22)</f>
        <v>347912.21200000006</v>
      </c>
      <c r="G22" s="1">
        <f>F22*(1+$B$22)</f>
        <v>372266.0668400001</v>
      </c>
      <c r="H22" s="1">
        <f>G22*(1+$B$22)</f>
        <v>398324.69151880016</v>
      </c>
    </row>
    <row r="23" spans="1:8" x14ac:dyDescent="0.4">
      <c r="A23" t="s">
        <v>28</v>
      </c>
      <c r="B23" s="2">
        <v>2.1000000000000001E-2</v>
      </c>
      <c r="C23" s="1">
        <v>82000</v>
      </c>
      <c r="D23" s="1">
        <f>C23*(1+$B$23)</f>
        <v>83721.999999999985</v>
      </c>
      <c r="E23" s="1">
        <f>D23*(1+$B$23)</f>
        <v>85480.161999999982</v>
      </c>
      <c r="F23" s="1">
        <f>E23*(1+$B$23)</f>
        <v>87275.245401999971</v>
      </c>
      <c r="G23" s="1">
        <f>F23*(1+$B$23)</f>
        <v>89108.025555441956</v>
      </c>
      <c r="H23" s="1">
        <f>G23*(1+$B$23)</f>
        <v>90979.294092106225</v>
      </c>
    </row>
    <row r="24" spans="1:8" x14ac:dyDescent="0.4">
      <c r="A24" t="s">
        <v>29</v>
      </c>
      <c r="C24" s="1">
        <f>SUM(C20:C23)</f>
        <v>805000</v>
      </c>
      <c r="D24" s="1">
        <f>SUM(D20:D23)</f>
        <v>848657</v>
      </c>
      <c r="E24" s="1">
        <f>SUM(E20:E23)</f>
        <v>894865.04099999997</v>
      </c>
      <c r="F24" s="1">
        <f>SUM(F20:F23)</f>
        <v>943780.17613700009</v>
      </c>
      <c r="G24" s="1">
        <f>SUM(G20:G23)</f>
        <v>995568.30516056111</v>
      </c>
      <c r="H24" s="1">
        <f>SUM(H20:H23)</f>
        <v>1050405.8100597265</v>
      </c>
    </row>
    <row r="26" spans="1:8" x14ac:dyDescent="0.4">
      <c r="A26" t="s">
        <v>30</v>
      </c>
      <c r="C26" s="1">
        <f>SUM(C10,C17,C24)</f>
        <v>1537000</v>
      </c>
      <c r="D26" s="1">
        <f>SUM(D10,D17,D24)</f>
        <v>1618102</v>
      </c>
      <c r="E26" s="1">
        <f>SUM(E10,E17,E24)</f>
        <v>1704211.7420000001</v>
      </c>
      <c r="F26" s="1">
        <f>SUM(F10,F17,F24)</f>
        <v>1795661.5636420003</v>
      </c>
      <c r="G26" s="1">
        <f>SUM(G10,G17,G24)</f>
        <v>1892806.8311761103</v>
      </c>
      <c r="H26" s="1">
        <f>SUM(H10,H17,H24)</f>
        <v>1996027.5851080909</v>
      </c>
    </row>
    <row r="27" spans="1:8" x14ac:dyDescent="0.4">
      <c r="A27" t="s">
        <v>31</v>
      </c>
      <c r="C27" s="2">
        <f>C26/$C$26</f>
        <v>1</v>
      </c>
      <c r="D27" s="2">
        <f>D26/$C$26</f>
        <v>1.0527664281067013</v>
      </c>
      <c r="E27" s="2">
        <f>E26/$C$26</f>
        <v>1.108790983734548</v>
      </c>
      <c r="F27" s="2">
        <f>F26/$C$26</f>
        <v>1.1682898917644764</v>
      </c>
      <c r="G27" s="2">
        <f>G26/$C$26</f>
        <v>1.2314943599063828</v>
      </c>
      <c r="H27" s="2">
        <f>H26/$C$26</f>
        <v>1.2986516493871769</v>
      </c>
    </row>
    <row r="29" spans="1:8" x14ac:dyDescent="0.4">
      <c r="A29" t="s">
        <v>32</v>
      </c>
      <c r="B29" t="s">
        <v>33</v>
      </c>
    </row>
    <row r="30" spans="1:8" x14ac:dyDescent="0.4">
      <c r="A30" t="s">
        <v>34</v>
      </c>
      <c r="B30">
        <v>0.1</v>
      </c>
    </row>
    <row r="31" spans="1:8" x14ac:dyDescent="0.4">
      <c r="A31" t="s">
        <v>35</v>
      </c>
      <c r="B31">
        <v>0.3</v>
      </c>
    </row>
    <row r="32" spans="1:8" x14ac:dyDescent="0.4">
      <c r="A32" t="s">
        <v>36</v>
      </c>
      <c r="B32">
        <v>0.5</v>
      </c>
    </row>
    <row r="33" spans="1:3" x14ac:dyDescent="0.4">
      <c r="A33" t="s">
        <v>37</v>
      </c>
      <c r="B33">
        <v>0.7</v>
      </c>
    </row>
    <row r="34" spans="1:3" x14ac:dyDescent="0.4">
      <c r="A34" t="s">
        <v>38</v>
      </c>
      <c r="C34" s="1">
        <f>ROUND(C26*VLOOKUP("East",A30:B33,2,FALSE),0)</f>
        <v>768500</v>
      </c>
    </row>
    <row r="36" spans="1:3" x14ac:dyDescent="0.4">
      <c r="A36" t="s">
        <v>39</v>
      </c>
      <c r="C36" s="1">
        <f>SUM(C26:H26)</f>
        <v>10543809.721926201</v>
      </c>
    </row>
    <row r="37" spans="1:3" x14ac:dyDescent="0.4">
      <c r="A37" t="s">
        <v>40</v>
      </c>
      <c r="C37" s="1">
        <f>ROUND(C36/Assumptions!B2,0)</f>
        <v>170061</v>
      </c>
    </row>
    <row r="38" spans="1:3" x14ac:dyDescent="0.4">
      <c r="A38" t="s">
        <v>41</v>
      </c>
      <c r="C38">
        <f>ROUND(Assumptions!B3/AVERAGE(C26:H26),1)</f>
        <v>0.3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8776E-6F6E-40C8-8F73-4C232E44E575}">
  <dimension ref="A1:B3"/>
  <sheetViews>
    <sheetView workbookViewId="0"/>
  </sheetViews>
  <sheetFormatPr defaultRowHeight="18.75" x14ac:dyDescent="0.4"/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>
        <v>62</v>
      </c>
    </row>
    <row r="3" spans="1:2" x14ac:dyDescent="0.4">
      <c r="A3" t="s">
        <v>3</v>
      </c>
      <c r="B3" s="1">
        <v>600000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Model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2026-09-03T08:10:23Z</dcterms:created>
  <dcterms:modified xsi:type="dcterms:W3CDTF">2026-09-03T08:10:26Z</dcterms:modified>
</cp:coreProperties>
</file>