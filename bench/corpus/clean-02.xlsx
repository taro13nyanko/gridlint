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385EF91D-1FD2-4EF2-AA52-FE7442AC32FB}" xr6:coauthVersionLast="47" xr6:coauthVersionMax="47" xr10:uidLastSave="{00000000-0000-0000-0000-000000000000}"/>
  <bookViews>
    <workbookView xWindow="-120" yWindow="-120" windowWidth="29040" windowHeight="15720" xr2:uid="{9E2668BB-DBFD-4811-A9C3-9E78019AE2D1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2" l="1"/>
  <c r="C24" i="2"/>
  <c r="C23" i="2"/>
  <c r="E21" i="2"/>
  <c r="D21" i="2"/>
  <c r="C21" i="2"/>
  <c r="E19" i="2"/>
  <c r="D19" i="2"/>
  <c r="C19" i="2"/>
  <c r="E18" i="2"/>
  <c r="D18" i="2"/>
  <c r="E17" i="2"/>
  <c r="D17" i="2"/>
  <c r="E16" i="2"/>
  <c r="D16" i="2"/>
  <c r="E15" i="2"/>
  <c r="D15" i="2"/>
  <c r="E14" i="2"/>
  <c r="D14" i="2"/>
  <c r="E13" i="2"/>
  <c r="D13" i="2"/>
  <c r="E10" i="2"/>
  <c r="D10" i="2"/>
  <c r="C10" i="2"/>
  <c r="E9" i="2"/>
  <c r="D9" i="2"/>
  <c r="E8" i="2"/>
  <c r="D8" i="2"/>
  <c r="E7" i="2"/>
  <c r="D7" i="2"/>
  <c r="E6" i="2"/>
  <c r="D6" i="2"/>
</calcChain>
</file>

<file path=xl/sharedStrings.xml><?xml version="1.0" encoding="utf-8"?>
<sst xmlns="http://schemas.openxmlformats.org/spreadsheetml/2006/main" count="27" uniqueCount="27">
  <si>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</si>
  <si>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</si>
  <si>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</si>
  <si>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</si>
  <si>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</si>
  <si>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</si>
  <si>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</si>
  <si>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</si>
  <si>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</si>
  <si>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REVENUE</t>
  </si>
  <si>
    <t>Software tools</t>
  </si>
  <si>
    <t>Sponsorships</t>
  </si>
  <si>
    <t>Travel</t>
  </si>
  <si>
    <t>Events</t>
  </si>
  <si>
    <t>Total revenue</t>
  </si>
  <si>
    <t>COST OF SALES</t>
  </si>
  <si>
    <t>Office rent</t>
  </si>
  <si>
    <t>Subscriptions</t>
  </si>
  <si>
    <t>Salaries</t>
  </si>
  <si>
    <t>Recruiting</t>
  </si>
  <si>
    <t>Services</t>
  </si>
  <si>
    <t>Support</t>
  </si>
  <si>
    <t>Total cost of sales</t>
  </si>
  <si>
    <t>Grand total</t>
  </si>
  <si>
    <t>Full year</t>
  </si>
  <si>
    <t>Per head</t>
  </si>
  <si>
    <t>Months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</si>
</sst>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1F07-F2B8-49CE-8864-6A6BE04589F6}">
  <dimension ref="A1:E25"/>
  <sheetViews>
    <sheetView tabSelected="1" workbookViewId="0"/>
  </sheetViews>
  <sheetFormatPr defaultRowHeight="18.75" x14ac:dyDescent="0.4"/>
  <cols>
    <col min="1" max="1" width="28.625" customWidth="1"/>
    <col min="3" max="5" width="10.625" bestFit="1" customWidth="1"/>
  </cols>
  <sheetData>
    <row r="1" spans="1:5" x14ac:dyDescent="0.4">
      <c r="A1" t="s">
        <v>4</v>
      </c>
    </row>
    <row r="3" spans="1:5" x14ac:dyDescent="0.4">
      <c r="B3" t="s">
        <v>5</v>
      </c>
      <c r="C3" t="s">
        <v>6</v>
      </c>
      <c r="D3" t="s">
        <v>7</v>
      </c>
      <c r="E3" t="s">
        <v>8</v>
      </c>
    </row>
    <row r="5" spans="1:5" x14ac:dyDescent="0.4">
      <c r="A5" t="s">
        <v>9</v>
      </c>
    </row>
    <row r="6" spans="1:5" x14ac:dyDescent="0.4">
      <c r="A6" t="s">
        <v>10</v>
      </c>
      <c r="B6" s="2">
        <v>1.2999999999999999E-2</v>
      </c>
      <c r="C6" s="1">
        <v>113000</v>
      </c>
      <c r="D6" s="1">
        <f>C6*(1+$B$6)</f>
        <v>114468.99999999999</v>
      </c>
      <c r="E6" s="1">
        <f>D6*(1+$B$6)</f>
        <v>115957.09699999998</v>
      </c>
    </row>
    <row r="7" spans="1:5" x14ac:dyDescent="0.4">
      <c r="A7" t="s">
        <v>11</v>
      </c>
      <c r="B7" s="2">
        <v>4.4999999999999998E-2</v>
      </c>
      <c r="C7" s="1">
        <v>25000</v>
      </c>
      <c r="D7" s="1">
        <f>C7*(1+$B$7)</f>
        <v>26125</v>
      </c>
      <c r="E7" s="1">
        <f>D7*(1+$B$7)</f>
        <v>27300.624999999996</v>
      </c>
    </row>
    <row r="8" spans="1:5" x14ac:dyDescent="0.4">
      <c r="A8" t="s">
        <v>12</v>
      </c>
      <c r="B8" s="2">
        <v>7.6999999999999999E-2</v>
      </c>
      <c r="C8" s="1">
        <v>398000</v>
      </c>
      <c r="D8" s="1">
        <f>C8*(1+$B$8)</f>
        <v>428646</v>
      </c>
      <c r="E8" s="1">
        <f>D8*(1+$B$8)</f>
        <v>461651.74199999997</v>
      </c>
    </row>
    <row r="9" spans="1:5" x14ac:dyDescent="0.4">
      <c r="A9" t="s">
        <v>13</v>
      </c>
      <c r="B9" s="2">
        <v>2.4E-2</v>
      </c>
      <c r="C9" s="1">
        <v>100000</v>
      </c>
      <c r="D9" s="1">
        <f>C9*(1+$B$9)</f>
        <v>102400</v>
      </c>
      <c r="E9" s="1">
        <f>D9*(1+$B$9)</f>
        <v>104857.60000000001</v>
      </c>
    </row>
    <row r="10" spans="1:5" x14ac:dyDescent="0.4">
      <c r="A10" t="s">
        <v>14</v>
      </c>
      <c r="C10" s="1">
        <f>SUM(C6:C9)</f>
        <v>636000</v>
      </c>
      <c r="D10" s="1">
        <f>SUM(D6:D9)</f>
        <v>671640</v>
      </c>
      <c r="E10" s="1">
        <f>SUM(E6:E9)</f>
        <v>709767.0639999999</v>
      </c>
    </row>
    <row r="12" spans="1:5" x14ac:dyDescent="0.4">
      <c r="A12" t="s">
        <v>15</v>
      </c>
    </row>
    <row r="13" spans="1:5" x14ac:dyDescent="0.4">
      <c r="A13" t="s">
        <v>16</v>
      </c>
      <c r="B13" s="2">
        <v>2.7E-2</v>
      </c>
      <c r="C13" s="1">
        <v>111000</v>
      </c>
      <c r="D13" s="1">
        <f>C13*(1+$B$13)</f>
        <v>113996.99999999999</v>
      </c>
      <c r="E13" s="1">
        <f>D13*(1+$B$13)</f>
        <v>117074.91899999998</v>
      </c>
    </row>
    <row r="14" spans="1:5" x14ac:dyDescent="0.4">
      <c r="A14" t="s">
        <v>17</v>
      </c>
      <c r="B14" s="2">
        <v>7.0000000000000001E-3</v>
      </c>
      <c r="C14" s="1">
        <v>48000</v>
      </c>
      <c r="D14" s="1">
        <f>C14*(1+$B$14)</f>
        <v>48335.999999999993</v>
      </c>
      <c r="E14" s="1">
        <f>D14*(1+$B$14)</f>
        <v>48674.351999999984</v>
      </c>
    </row>
    <row r="15" spans="1:5" x14ac:dyDescent="0.4">
      <c r="A15" t="s">
        <v>18</v>
      </c>
      <c r="B15" s="2">
        <v>8.2000000000000003E-2</v>
      </c>
      <c r="C15" s="1">
        <v>219000</v>
      </c>
      <c r="D15" s="1">
        <f>C15*(1+$B$15)</f>
        <v>236958.00000000003</v>
      </c>
      <c r="E15" s="1">
        <f>D15*(1+$B$15)</f>
        <v>256388.55600000004</v>
      </c>
    </row>
    <row r="16" spans="1:5" x14ac:dyDescent="0.4">
      <c r="A16" t="s">
        <v>19</v>
      </c>
      <c r="B16" s="2">
        <v>0.08</v>
      </c>
      <c r="C16" s="1">
        <v>294000</v>
      </c>
      <c r="D16" s="1">
        <f>C16*(1+$B$16)</f>
        <v>317520</v>
      </c>
      <c r="E16" s="1">
        <f>D16*(1+$B$16)</f>
        <v>342921.60000000003</v>
      </c>
    </row>
    <row r="17" spans="1:5" x14ac:dyDescent="0.4">
      <c r="A17" t="s">
        <v>20</v>
      </c>
      <c r="B17" s="2">
        <v>2E-3</v>
      </c>
      <c r="C17" s="1">
        <v>353000</v>
      </c>
      <c r="D17" s="1">
        <f>C17*(1+$B$17)</f>
        <v>353706</v>
      </c>
      <c r="E17" s="1">
        <f>D17*(1+$B$17)</f>
        <v>354413.41200000001</v>
      </c>
    </row>
    <row r="18" spans="1:5" x14ac:dyDescent="0.4">
      <c r="A18" t="s">
        <v>21</v>
      </c>
      <c r="B18" s="2">
        <v>-2E-3</v>
      </c>
      <c r="C18" s="1">
        <v>133000</v>
      </c>
      <c r="D18" s="1">
        <f>C18*(1+$B$18)</f>
        <v>132734</v>
      </c>
      <c r="E18" s="1">
        <f>D18*(1+$B$18)</f>
        <v>132468.53200000001</v>
      </c>
    </row>
    <row r="19" spans="1:5" x14ac:dyDescent="0.4">
      <c r="A19" t="s">
        <v>22</v>
      </c>
      <c r="C19" s="1">
        <f>SUM(C13:C18)</f>
        <v>1158000</v>
      </c>
      <c r="D19" s="1">
        <f>SUM(D13:D18)</f>
        <v>1203251</v>
      </c>
      <c r="E19" s="1">
        <f>SUM(E13:E18)</f>
        <v>1251941.3710000003</v>
      </c>
    </row>
    <row r="21" spans="1:5" x14ac:dyDescent="0.4">
      <c r="A21" t="s">
        <v>23</v>
      </c>
      <c r="C21" s="1">
        <f>SUM(C10,C19)</f>
        <v>1794000</v>
      </c>
      <c r="D21" s="1">
        <f>SUM(D10,D19)</f>
        <v>1874891</v>
      </c>
      <c r="E21" s="1">
        <f>SUM(E10,E19)</f>
        <v>1961708.4350000001</v>
      </c>
    </row>
    <row r="23" spans="1:5" x14ac:dyDescent="0.4">
      <c r="A23" t="s">
        <v>24</v>
      </c>
      <c r="C23" s="1">
        <f>SUM(C21:E21)</f>
        <v>5630599.4350000005</v>
      </c>
    </row>
    <row r="24" spans="1:5" x14ac:dyDescent="0.4">
      <c r="A24" t="s">
        <v>25</v>
      </c>
      <c r="C24" s="1">
        <f>ROUND(C23/Assumptions!B2,0)</f>
        <v>511873</v>
      </c>
    </row>
    <row r="25" spans="1:5" x14ac:dyDescent="0.4">
      <c r="A25" t="s">
        <v>26</v>
      </c>
      <c r="C25">
        <f>ROUND(Assumptions!B3/AVERAGE(C21:E21),1)</f>
        <v>1.3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EA5B-E7EF-4998-BBD0-6B29F8FB0D17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11</v>
      </c>
    </row>
    <row r="3" spans="1:2" x14ac:dyDescent="0.4">
      <c r="A3" t="s">
        <v>3</v>
      </c>
      <c r="B3" s="1">
        <v>2500000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2026-09-03T13:35:34Z</dcterms:created>
  <dcterms:modified xsi:type="dcterms:W3CDTF">2026-09-03T13:35:35Z</dcterms:modified>
</cp:coreProperties>
</file>