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ank\Desktop\後藤さんのclaude\ai-builders-2026\gridlint\bench\corpus\"/>
    </mc:Choice>
  </mc:AlternateContent>
  <xr:revisionPtr revIDLastSave="0" documentId="8_{45FB9CE9-E80C-411D-82BB-9CC04AB2B43A}" xr6:coauthVersionLast="47" xr6:coauthVersionMax="47" xr10:uidLastSave="{00000000-0000-0000-0000-000000000000}"/>
  <bookViews>
    <workbookView xWindow="-120" yWindow="-120" windowWidth="29040" windowHeight="15720" xr2:uid="{B699044F-17DF-4957-BC88-C254568783F8}"/>
  </bookViews>
  <sheets>
    <sheet name="Model" sheetId="2" r:id="rId1"/>
    <sheet name="Assump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1" i="2" l="1"/>
  <c r="C30" i="2"/>
  <c r="C29" i="2"/>
  <c r="N27" i="2"/>
  <c r="M27" i="2"/>
  <c r="L27" i="2"/>
  <c r="K27" i="2"/>
  <c r="J27" i="2"/>
  <c r="I27" i="2"/>
  <c r="H27" i="2"/>
  <c r="G27" i="2"/>
  <c r="F27" i="2"/>
  <c r="E27" i="2"/>
  <c r="D27" i="2"/>
  <c r="C27" i="2"/>
  <c r="N26" i="2"/>
  <c r="M26" i="2"/>
  <c r="L26" i="2"/>
  <c r="K26" i="2"/>
  <c r="J26" i="2"/>
  <c r="I26" i="2"/>
  <c r="H26" i="2"/>
  <c r="G26" i="2"/>
  <c r="F26" i="2"/>
  <c r="E26" i="2"/>
  <c r="D26" i="2"/>
  <c r="C26" i="2"/>
  <c r="N24" i="2"/>
  <c r="M24" i="2"/>
  <c r="L24" i="2"/>
  <c r="K24" i="2"/>
  <c r="J24" i="2"/>
  <c r="I24" i="2"/>
  <c r="H24" i="2"/>
  <c r="G24" i="2"/>
  <c r="F24" i="2"/>
  <c r="E24" i="2"/>
  <c r="D24" i="2"/>
  <c r="C24" i="2"/>
  <c r="N23" i="2"/>
  <c r="M23" i="2"/>
  <c r="L23" i="2"/>
  <c r="K23" i="2"/>
  <c r="J23" i="2"/>
  <c r="I23" i="2"/>
  <c r="H23" i="2"/>
  <c r="G23" i="2"/>
  <c r="F23" i="2"/>
  <c r="E23" i="2"/>
  <c r="D23" i="2"/>
  <c r="N22" i="2"/>
  <c r="M22" i="2"/>
  <c r="L22" i="2"/>
  <c r="K22" i="2"/>
  <c r="J22" i="2"/>
  <c r="I22" i="2"/>
  <c r="H22" i="2"/>
  <c r="G22" i="2"/>
  <c r="F22" i="2"/>
  <c r="E22" i="2"/>
  <c r="D22" i="2"/>
  <c r="N21" i="2"/>
  <c r="M21" i="2"/>
  <c r="L21" i="2"/>
  <c r="K21" i="2"/>
  <c r="J21" i="2"/>
  <c r="I21" i="2"/>
  <c r="H21" i="2"/>
  <c r="G21" i="2"/>
  <c r="F21" i="2"/>
  <c r="E21" i="2"/>
  <c r="D21" i="2"/>
  <c r="N20" i="2"/>
  <c r="M20" i="2"/>
  <c r="L20" i="2"/>
  <c r="K20" i="2"/>
  <c r="J20" i="2"/>
  <c r="I20" i="2"/>
  <c r="H20" i="2"/>
  <c r="G20" i="2"/>
  <c r="F20" i="2"/>
  <c r="E20" i="2"/>
  <c r="D20" i="2"/>
  <c r="N18" i="2"/>
  <c r="M18" i="2"/>
  <c r="L18" i="2"/>
  <c r="K18" i="2"/>
  <c r="J18" i="2"/>
  <c r="I18" i="2"/>
  <c r="H18" i="2"/>
  <c r="G18" i="2"/>
  <c r="F18" i="2"/>
  <c r="E18" i="2"/>
  <c r="D18" i="2"/>
  <c r="C18" i="2"/>
  <c r="N17" i="2"/>
  <c r="M17" i="2"/>
  <c r="L17" i="2"/>
  <c r="K17" i="2"/>
  <c r="J17" i="2"/>
  <c r="I17" i="2"/>
  <c r="H17" i="2"/>
  <c r="G17" i="2"/>
  <c r="F17" i="2"/>
  <c r="E17" i="2"/>
  <c r="D17" i="2"/>
  <c r="N16" i="2"/>
  <c r="M16" i="2"/>
  <c r="L16" i="2"/>
  <c r="K16" i="2"/>
  <c r="J16" i="2"/>
  <c r="I16" i="2"/>
  <c r="H16" i="2"/>
  <c r="G16" i="2"/>
  <c r="F16" i="2"/>
  <c r="E16" i="2"/>
  <c r="D16" i="2"/>
  <c r="N15" i="2"/>
  <c r="M15" i="2"/>
  <c r="L15" i="2"/>
  <c r="K15" i="2"/>
  <c r="J15" i="2"/>
  <c r="I15" i="2"/>
  <c r="H15" i="2"/>
  <c r="G15" i="2"/>
  <c r="F15" i="2"/>
  <c r="E15" i="2"/>
  <c r="D15" i="2"/>
  <c r="N14" i="2"/>
  <c r="M14" i="2"/>
  <c r="L14" i="2"/>
  <c r="K14" i="2"/>
  <c r="J14" i="2"/>
  <c r="I14" i="2"/>
  <c r="H14" i="2"/>
  <c r="G14" i="2"/>
  <c r="F14" i="2"/>
  <c r="E14" i="2"/>
  <c r="D14" i="2"/>
  <c r="N13" i="2"/>
  <c r="M13" i="2"/>
  <c r="L13" i="2"/>
  <c r="K13" i="2"/>
  <c r="J13" i="2"/>
  <c r="I13" i="2"/>
  <c r="H13" i="2"/>
  <c r="G13" i="2"/>
  <c r="F13" i="2"/>
  <c r="E13" i="2"/>
  <c r="D13" i="2"/>
  <c r="N11" i="2"/>
  <c r="M11" i="2"/>
  <c r="L11" i="2"/>
  <c r="K11" i="2"/>
  <c r="J11" i="2"/>
  <c r="I11" i="2"/>
  <c r="H11" i="2"/>
  <c r="G11" i="2"/>
  <c r="F11" i="2"/>
  <c r="E11" i="2"/>
  <c r="D11" i="2"/>
  <c r="C11" i="2"/>
  <c r="N10" i="2"/>
  <c r="M10" i="2"/>
  <c r="L10" i="2"/>
  <c r="K10" i="2"/>
  <c r="J10" i="2"/>
  <c r="I10" i="2"/>
  <c r="H10" i="2"/>
  <c r="G10" i="2"/>
  <c r="F10" i="2"/>
  <c r="E10" i="2"/>
  <c r="D10" i="2"/>
  <c r="N9" i="2"/>
  <c r="M9" i="2"/>
  <c r="L9" i="2"/>
  <c r="K9" i="2"/>
  <c r="J9" i="2"/>
  <c r="I9" i="2"/>
  <c r="H9" i="2"/>
  <c r="G9" i="2"/>
  <c r="F9" i="2"/>
  <c r="E9" i="2"/>
  <c r="D9" i="2"/>
  <c r="N8" i="2"/>
  <c r="M8" i="2"/>
  <c r="L8" i="2"/>
  <c r="K8" i="2"/>
  <c r="J8" i="2"/>
  <c r="I8" i="2"/>
  <c r="H8" i="2"/>
  <c r="G8" i="2"/>
  <c r="F8" i="2"/>
  <c r="E8" i="2"/>
  <c r="D8" i="2"/>
  <c r="N7" i="2"/>
  <c r="M7" i="2"/>
  <c r="L7" i="2"/>
  <c r="K7" i="2"/>
  <c r="J7" i="2"/>
  <c r="I7" i="2"/>
  <c r="H7" i="2"/>
  <c r="G7" i="2"/>
  <c r="F7" i="2"/>
  <c r="E7" i="2"/>
  <c r="D7" i="2"/>
  <c r="N6" i="2"/>
  <c r="M6" i="2"/>
  <c r="L6" i="2"/>
  <c r="K6" i="2"/>
  <c r="J6" i="2"/>
  <c r="I6" i="2"/>
  <c r="H6" i="2"/>
  <c r="G6" i="2"/>
  <c r="F6" i="2"/>
  <c r="E6" i="2"/>
  <c r="D6" i="2"/>
  <c r="N5" i="2"/>
  <c r="M5" i="2"/>
  <c r="L5" i="2"/>
  <c r="K5" i="2"/>
  <c r="J5" i="2"/>
  <c r="I5" i="2"/>
  <c r="H5" i="2"/>
  <c r="G5" i="2"/>
  <c r="F5" i="2"/>
  <c r="E5" i="2"/>
  <c r="D5" i="2"/>
</calcChain>
</file>

<file path=xl/sharedStrings.xml><?xml version="1.0" encoding="utf-8"?>
<sst xmlns="http://schemas.openxmlformats.org/spreadsheetml/2006/main" count="44" uniqueCount="44">
  <si>
    <t>Assumption</t>
  </si>
  <si>
    <t>Value</t>
  </si>
  <si>
    <t>Headcount</t>
  </si>
  <si>
    <t>Cash on hand</t>
  </si>
  <si>
    <t>Plan</t>
  </si>
  <si>
    <t>Growth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</si>
  <si>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</si>
  <si>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</si>
  <si>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</si>
  <si>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</si>
  <si>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</si>
  <si>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</si>
  <si>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</si>
  <si>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</si>
  <si>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</si>
  <si>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</si>
  <si>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</si>
  <si>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</si>
  <si>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</si>
  <si>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Contractors</t>
  </si>
  <si>
    <t>Travel</t>
  </si>
  <si>
    <t>Training</t>
  </si>
  <si>
    <t>Insurance</t>
  </si>
  <si>
    <t>Salaries</t>
  </si>
  <si>
    <t>Subscriptions</t>
  </si>
  <si>
    <t>Total revenue</t>
  </si>
  <si>
    <t>COST OF SALES</t>
  </si>
  <si>
    <t>Advertising</t>
  </si>
  <si>
    <t>Services</t>
  </si>
  <si>
    <t>Licences</t>
  </si>
  <si>
    <t>Support</t>
  </si>
  <si>
    <t>Content</t>
  </si>
  <si>
    <t>Total cost of sales</t>
  </si>
  <si>
    <t>OPERATING COSTS</t>
  </si>
  <si>
    <t>Recruiting</t>
  </si>
  <si>
    <t>Agency fees</t>
  </si>
  <si>
    <t>Events</t>
  </si>
  <si>
    <t>Office rent</t>
  </si>
  <si>
    <t>Total operating costs</t>
  </si>
  <si>
    <t>Grand total</t>
  </si>
  <si>
    <t>Share of first month</t>
  </si>
  <si>
    <t>Full year</t>
  </si>
  <si>
    <t>Per head</t>
  </si>
  <si>
    <t>Months of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</si>
</sst>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\$#,##0"/>
    <numFmt numFmtId="180" formatCode="0.0%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983A-4744-4D98-B932-E0E31B1640C8}">
  <dimension ref="A1:N31"/>
  <sheetViews>
    <sheetView tabSelected="1" workbookViewId="0"/>
  </sheetViews>
  <sheetFormatPr defaultRowHeight="18.75" x14ac:dyDescent="0.4"/>
  <cols>
    <col min="1" max="1" width="28.625" customWidth="1"/>
    <col min="3" max="3" width="11.75" bestFit="1" customWidth="1"/>
    <col min="4" max="5" width="10.75" bestFit="1" customWidth="1"/>
    <col min="6" max="14" width="10.875" bestFit="1" customWidth="1"/>
  </cols>
  <sheetData>
    <row r="1" spans="1:14" x14ac:dyDescent="0.4">
      <c r="A1" t="s">
        <v>4</v>
      </c>
    </row>
    <row r="3" spans="1:14" x14ac:dyDescent="0.4"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</row>
    <row r="4" spans="1:14" x14ac:dyDescent="0.4">
      <c r="A4" t="s">
        <v>18</v>
      </c>
    </row>
    <row r="5" spans="1:14" x14ac:dyDescent="0.4">
      <c r="A5" t="s">
        <v>19</v>
      </c>
      <c r="B5" s="2">
        <v>1.2999999999999999E-2</v>
      </c>
      <c r="C5" s="1">
        <v>114000</v>
      </c>
      <c r="D5" s="1">
        <f>C5*(1+$B$5)</f>
        <v>115481.99999999999</v>
      </c>
      <c r="E5" s="1">
        <f>D5*(1+$B$5)</f>
        <v>116983.26599999997</v>
      </c>
      <c r="F5" s="1">
        <f>E5*(1+$B$5)</f>
        <v>118504.04845799996</v>
      </c>
      <c r="G5" s="1">
        <f>F5*(1+$B$5)</f>
        <v>120044.60108795395</v>
      </c>
      <c r="H5" s="1">
        <f>G5*(1+$B$5)</f>
        <v>121605.18090209735</v>
      </c>
      <c r="I5" s="1">
        <f>H5*(1+$B$5)</f>
        <v>123186.0482538246</v>
      </c>
      <c r="J5" s="1">
        <f>I5*(1+$B$5)</f>
        <v>124787.4668811243</v>
      </c>
      <c r="K5" s="1">
        <f>J5*(1+$B$5)</f>
        <v>126409.7039505789</v>
      </c>
      <c r="L5" s="1">
        <f>K5*(1+$B$5)</f>
        <v>128053.03010193641</v>
      </c>
      <c r="M5" s="1">
        <f>L5*(1+$B$5)</f>
        <v>129717.71949326157</v>
      </c>
      <c r="N5" s="1">
        <f>M5*(1+$B$5)</f>
        <v>131404.04984667397</v>
      </c>
    </row>
    <row r="6" spans="1:14" x14ac:dyDescent="0.4">
      <c r="A6" t="s">
        <v>20</v>
      </c>
      <c r="B6" s="2">
        <v>1.4999999999999999E-2</v>
      </c>
      <c r="C6" s="1">
        <v>139000</v>
      </c>
      <c r="D6" s="1">
        <f>C6*(1+$B$6)</f>
        <v>141085</v>
      </c>
      <c r="E6" s="1">
        <f>D6*(1+$B$6)</f>
        <v>143201.27499999999</v>
      </c>
      <c r="F6" s="1">
        <f>E6*(1+$B$6)</f>
        <v>145349.29412499999</v>
      </c>
      <c r="G6" s="1">
        <f>F6*(1+$B$6)</f>
        <v>147529.53353687498</v>
      </c>
      <c r="H6" s="1">
        <f>G6*(1+$B$6)</f>
        <v>149742.47653992809</v>
      </c>
      <c r="I6" s="1">
        <f>H6*(1+$B$6)</f>
        <v>151988.61368802699</v>
      </c>
      <c r="J6" s="1">
        <f>I6*(1+$B$6)</f>
        <v>154268.44289334738</v>
      </c>
      <c r="K6" s="1">
        <f>J6*(1+$B$6)</f>
        <v>156582.46953674758</v>
      </c>
      <c r="L6" s="1">
        <f>K6*(1+$B$6)</f>
        <v>158931.20657979877</v>
      </c>
      <c r="M6" s="1">
        <f>L6*(1+$B$6)</f>
        <v>161315.17467849574</v>
      </c>
      <c r="N6" s="1">
        <f>M6*(1+$B$6)</f>
        <v>163734.90229867314</v>
      </c>
    </row>
    <row r="7" spans="1:14" x14ac:dyDescent="0.4">
      <c r="A7" t="s">
        <v>21</v>
      </c>
      <c r="B7" s="2">
        <v>-5.0000000000000001E-3</v>
      </c>
      <c r="C7" s="1">
        <v>66000</v>
      </c>
      <c r="D7" s="1">
        <f>C7*(1+$B$7)</f>
        <v>65670</v>
      </c>
      <c r="E7" s="1">
        <f>D7*(1+$B$7)</f>
        <v>65341.65</v>
      </c>
      <c r="F7" s="1">
        <f>E7*(1+$B$7)</f>
        <v>65014.941749999998</v>
      </c>
      <c r="G7" s="1">
        <f>F7*(1+$B$7)</f>
        <v>64689.86704125</v>
      </c>
      <c r="H7" s="1">
        <f>G7*(1+$B$7)</f>
        <v>64366.417706043751</v>
      </c>
      <c r="I7" s="1">
        <f>H7*(1+$B$7)</f>
        <v>64044.585617513534</v>
      </c>
      <c r="J7" s="1">
        <f>I7*(1+$B$7)</f>
        <v>63724.362689425965</v>
      </c>
      <c r="K7" s="1">
        <f>J7*(1+$B$7)</f>
        <v>63405.740875978838</v>
      </c>
      <c r="L7" s="1">
        <f>K7*(1+$B$7)</f>
        <v>63088.712171598941</v>
      </c>
      <c r="M7" s="1">
        <f>L7*(1+$B$7)</f>
        <v>62773.268610740946</v>
      </c>
      <c r="N7" s="1">
        <f>M7*(1+$B$7)</f>
        <v>62459.402267687241</v>
      </c>
    </row>
    <row r="8" spans="1:14" x14ac:dyDescent="0.4">
      <c r="A8" t="s">
        <v>22</v>
      </c>
      <c r="B8" s="2">
        <v>6.6000000000000003E-2</v>
      </c>
      <c r="C8" s="1">
        <v>168000</v>
      </c>
      <c r="D8" s="1">
        <f>C8*(1+$B$8)</f>
        <v>179088</v>
      </c>
      <c r="E8" s="1">
        <f>D8*(1+$B$8)</f>
        <v>190907.80800000002</v>
      </c>
      <c r="F8" s="1">
        <f>E8*(1+$B$8)</f>
        <v>203507.72332800002</v>
      </c>
      <c r="G8" s="1">
        <f>F8*(1+$B$8)</f>
        <v>216939.23306764805</v>
      </c>
      <c r="H8" s="1">
        <f>G8*(1+$B$8)</f>
        <v>231257.22245011284</v>
      </c>
      <c r="I8" s="1">
        <f>H8*(1+$B$8)</f>
        <v>246520.19913182029</v>
      </c>
      <c r="J8" s="1">
        <f>I8*(1+$B$8)</f>
        <v>262790.53227452043</v>
      </c>
      <c r="K8" s="1">
        <f>J8*(1+$B$8)</f>
        <v>280134.70740463882</v>
      </c>
      <c r="L8" s="1">
        <f>K8*(1+$B$8)</f>
        <v>298623.598093345</v>
      </c>
      <c r="M8" s="1">
        <f>L8*(1+$B$8)</f>
        <v>318332.75556750578</v>
      </c>
      <c r="N8" s="1">
        <f>M8*(1+$B$8)</f>
        <v>339342.71743496117</v>
      </c>
    </row>
    <row r="9" spans="1:14" x14ac:dyDescent="0.4">
      <c r="A9" t="s">
        <v>23</v>
      </c>
      <c r="B9" s="2">
        <v>3.1E-2</v>
      </c>
      <c r="C9" s="1">
        <v>164000</v>
      </c>
      <c r="D9" s="1">
        <f>C9*(1+$B$9)</f>
        <v>169084</v>
      </c>
      <c r="E9" s="1">
        <f>D9*(1+$B$9)</f>
        <v>174325.60399999999</v>
      </c>
      <c r="F9" s="1">
        <f>E9*(1+$B$9)</f>
        <v>179729.69772399997</v>
      </c>
      <c r="G9" s="1">
        <f>F9*(1+$B$9)</f>
        <v>185301.31835344396</v>
      </c>
      <c r="H9" s="1">
        <f>G9*(1+$B$9)</f>
        <v>191045.65922240072</v>
      </c>
      <c r="I9" s="1">
        <f>H9*(1+$B$9)</f>
        <v>196968.07465829511</v>
      </c>
      <c r="J9" s="1">
        <f>I9*(1+$B$9)</f>
        <v>203074.08497270223</v>
      </c>
      <c r="K9" s="1">
        <f>J9*(1+$B$9)</f>
        <v>209369.38160685598</v>
      </c>
      <c r="L9" s="1">
        <f>K9*(1+$B$9)</f>
        <v>215859.83243666851</v>
      </c>
      <c r="M9" s="1">
        <f>L9*(1+$B$9)</f>
        <v>222551.48724220521</v>
      </c>
      <c r="N9" s="1">
        <f>M9*(1+$B$9)</f>
        <v>229450.58334671357</v>
      </c>
    </row>
    <row r="10" spans="1:14" x14ac:dyDescent="0.4">
      <c r="A10" t="s">
        <v>24</v>
      </c>
      <c r="B10" s="2">
        <v>-4.0000000000000001E-3</v>
      </c>
      <c r="C10" s="1">
        <v>15000</v>
      </c>
      <c r="D10" s="1">
        <f>C10*(1+$B$10)</f>
        <v>14940</v>
      </c>
      <c r="E10" s="1">
        <f>D10*(1+$B$10)</f>
        <v>14880.24</v>
      </c>
      <c r="F10" s="1">
        <f>E10*(1+$B$10)</f>
        <v>14820.71904</v>
      </c>
      <c r="G10" s="1">
        <f>F10*(1+$B$10)</f>
        <v>14761.436163840001</v>
      </c>
      <c r="H10" s="1">
        <f>G10*(1+$B$10)</f>
        <v>14702.390419184641</v>
      </c>
      <c r="I10" s="1">
        <f>H10*(1+$B$10)</f>
        <v>14643.580857507903</v>
      </c>
      <c r="J10" s="1">
        <f>I10*(1+$B$10)</f>
        <v>14585.006534077871</v>
      </c>
      <c r="K10" s="1">
        <f>J10*(1+$B$10)</f>
        <v>14526.66650794156</v>
      </c>
      <c r="L10" s="1">
        <f>K10*(1+$B$10)</f>
        <v>14468.559841909793</v>
      </c>
      <c r="M10" s="1">
        <f>L10*(1+$B$10)</f>
        <v>14410.685602542155</v>
      </c>
      <c r="N10" s="1">
        <f>M10*(1+$B$10)</f>
        <v>14353.042860131985</v>
      </c>
    </row>
    <row r="11" spans="1:14" x14ac:dyDescent="0.4">
      <c r="A11" t="s">
        <v>25</v>
      </c>
      <c r="C11" s="1">
        <f>SUM(C5:C10)</f>
        <v>666000</v>
      </c>
      <c r="D11" s="1">
        <f>SUM(D5:D10)</f>
        <v>685349</v>
      </c>
      <c r="E11" s="1">
        <f>SUM(E5:E10)</f>
        <v>705639.84299999999</v>
      </c>
      <c r="F11" s="1">
        <f>SUM(F5:F10)</f>
        <v>726926.42442499998</v>
      </c>
      <c r="G11" s="1">
        <f>SUM(G5:G10)</f>
        <v>749265.98925101093</v>
      </c>
      <c r="H11" s="1">
        <f>SUM(H5:H10)</f>
        <v>772719.34723976743</v>
      </c>
      <c r="I11" s="1">
        <f>SUM(I5:I10)</f>
        <v>797351.10220698849</v>
      </c>
      <c r="J11" s="1">
        <f>SUM(J5:J10)</f>
        <v>823229.89624519809</v>
      </c>
      <c r="K11" s="1">
        <f>SUM(K5:K10)</f>
        <v>850428.66988274176</v>
      </c>
      <c r="L11" s="1">
        <f>SUM(L5:L10)</f>
        <v>879024.93922525749</v>
      </c>
      <c r="M11" s="1">
        <f>SUM(M5:M10)</f>
        <v>909101.09119475132</v>
      </c>
      <c r="N11" s="1">
        <f>SUM(N5:N10)</f>
        <v>940744.69805484102</v>
      </c>
    </row>
    <row r="12" spans="1:14" x14ac:dyDescent="0.4">
      <c r="A12" t="s">
        <v>26</v>
      </c>
    </row>
    <row r="13" spans="1:14" x14ac:dyDescent="0.4">
      <c r="A13" t="s">
        <v>27</v>
      </c>
      <c r="B13" s="2">
        <v>-6.0000000000000001E-3</v>
      </c>
      <c r="C13" s="1">
        <v>180000</v>
      </c>
      <c r="D13" s="1">
        <f>C13*(1+$B$13)</f>
        <v>178920</v>
      </c>
      <c r="E13" s="1">
        <f>D13*(1+$B$13)</f>
        <v>177846.48</v>
      </c>
      <c r="F13" s="1">
        <f>E13*(1+$B$13)</f>
        <v>176779.40111999999</v>
      </c>
      <c r="G13" s="1">
        <f>F13*(1+$B$13)</f>
        <v>175718.72471327998</v>
      </c>
      <c r="H13" s="1">
        <f>G13*(1+$B$13)</f>
        <v>174664.41236500029</v>
      </c>
      <c r="I13" s="1">
        <f>H13*(1+$B$13)</f>
        <v>173616.42589081029</v>
      </c>
      <c r="J13" s="1">
        <f>I13*(1+$B$13)</f>
        <v>172574.72733546543</v>
      </c>
      <c r="K13" s="1">
        <f>J13*(1+$B$13)</f>
        <v>171539.27897145264</v>
      </c>
      <c r="L13" s="1">
        <f>K13*(1+$B$13)</f>
        <v>170510.04329762392</v>
      </c>
      <c r="M13" s="1">
        <f>L13*(1+$B$13)</f>
        <v>169486.98303783819</v>
      </c>
      <c r="N13" s="1">
        <f>M13*(1+$B$13)</f>
        <v>168470.06113961115</v>
      </c>
    </row>
    <row r="14" spans="1:14" x14ac:dyDescent="0.4">
      <c r="A14" t="s">
        <v>28</v>
      </c>
      <c r="B14" s="2">
        <v>3.0000000000000001E-3</v>
      </c>
      <c r="C14" s="1">
        <v>294000</v>
      </c>
      <c r="D14" s="1">
        <f>C14*(1+$B$14)</f>
        <v>294881.99999999994</v>
      </c>
      <c r="E14" s="1">
        <f>D14*(1+$B$14)</f>
        <v>295766.64599999989</v>
      </c>
      <c r="F14" s="1">
        <f>E14*(1+$B$14)</f>
        <v>296653.94593799987</v>
      </c>
      <c r="G14" s="1">
        <f>F14*(1+$B$14)</f>
        <v>297543.90777581383</v>
      </c>
      <c r="H14" s="1">
        <f>G14*(1+$B$14)</f>
        <v>298436.53949914122</v>
      </c>
      <c r="I14" s="1">
        <f>H14*(1+$B$14)</f>
        <v>299331.8491176386</v>
      </c>
      <c r="J14" s="1">
        <f>I14*(1+$B$14)</f>
        <v>300229.84466499148</v>
      </c>
      <c r="K14" s="1">
        <f>J14*(1+$B$14)</f>
        <v>301130.53419898642</v>
      </c>
      <c r="L14" s="1">
        <f>K14*(1+$B$14)</f>
        <v>302033.92580158333</v>
      </c>
      <c r="M14" s="1">
        <f>L14*(1+$B$14)</f>
        <v>302940.02757898805</v>
      </c>
      <c r="N14" s="1">
        <f>M14*(1+$B$14)</f>
        <v>303848.84766172501</v>
      </c>
    </row>
    <row r="15" spans="1:14" x14ac:dyDescent="0.4">
      <c r="A15" t="s">
        <v>29</v>
      </c>
      <c r="B15" s="2">
        <v>4.7E-2</v>
      </c>
      <c r="C15" s="1">
        <v>43000</v>
      </c>
      <c r="D15" s="1">
        <f>C15*(1+$B$15)</f>
        <v>45021</v>
      </c>
      <c r="E15" s="1">
        <f>D15*(1+$B$15)</f>
        <v>47136.986999999994</v>
      </c>
      <c r="F15" s="1">
        <f>E15*(1+$B$15)</f>
        <v>49352.425388999989</v>
      </c>
      <c r="G15" s="1">
        <f>F15*(1+$B$15)</f>
        <v>51671.989382282984</v>
      </c>
      <c r="H15" s="1">
        <f>G15*(1+$B$15)</f>
        <v>54100.572883250279</v>
      </c>
      <c r="I15" s="1">
        <f>H15*(1+$B$15)</f>
        <v>56643.29980876304</v>
      </c>
      <c r="J15" s="1">
        <f>I15*(1+$B$15)</f>
        <v>59305.534899774902</v>
      </c>
      <c r="K15" s="1">
        <f>J15*(1+$B$15)</f>
        <v>62092.895040064315</v>
      </c>
      <c r="L15" s="1">
        <f>K15*(1+$B$15)</f>
        <v>65011.261106947335</v>
      </c>
      <c r="M15" s="1">
        <f>L15*(1+$B$15)</f>
        <v>68066.790378973848</v>
      </c>
      <c r="N15" s="1">
        <f>M15*(1+$B$15)</f>
        <v>71265.929526785621</v>
      </c>
    </row>
    <row r="16" spans="1:14" x14ac:dyDescent="0.4">
      <c r="A16" t="s">
        <v>30</v>
      </c>
      <c r="B16" s="2">
        <v>6.3E-2</v>
      </c>
      <c r="C16" s="1">
        <v>325000</v>
      </c>
      <c r="D16" s="1">
        <f>C16*(1+$B$16)</f>
        <v>345475</v>
      </c>
      <c r="E16" s="1">
        <f>D16*(1+$B$16)</f>
        <v>367239.92499999999</v>
      </c>
      <c r="F16" s="1">
        <f>E16*(1+$B$16)</f>
        <v>390376.04027499998</v>
      </c>
      <c r="G16" s="1">
        <f>F16*(1+$B$16)</f>
        <v>414969.73081232497</v>
      </c>
      <c r="H16" s="1">
        <f>G16*(1+$B$16)</f>
        <v>441112.82385350141</v>
      </c>
      <c r="I16" s="1">
        <f>H16*(1+$B$16)</f>
        <v>468902.93175627198</v>
      </c>
      <c r="J16" s="1">
        <f>I16*(1+$B$16)</f>
        <v>498443.81645691709</v>
      </c>
      <c r="K16" s="1">
        <f>J16*(1+$B$16)</f>
        <v>529845.7768937028</v>
      </c>
      <c r="L16" s="1">
        <f>K16*(1+$B$16)</f>
        <v>563226.06083800609</v>
      </c>
      <c r="M16" s="1">
        <f>L16*(1+$B$16)</f>
        <v>598709.30267080048</v>
      </c>
      <c r="N16" s="1">
        <f>M16*(1+$B$16)</f>
        <v>636427.98873906082</v>
      </c>
    </row>
    <row r="17" spans="1:14" x14ac:dyDescent="0.4">
      <c r="A17" t="s">
        <v>31</v>
      </c>
      <c r="B17" s="2">
        <v>4.2999999999999997E-2</v>
      </c>
      <c r="C17" s="1">
        <v>95000</v>
      </c>
      <c r="D17" s="1">
        <f>C17*(1+$B$17)</f>
        <v>99085</v>
      </c>
      <c r="E17" s="1">
        <f>D17*(1+$B$17)</f>
        <v>103345.655</v>
      </c>
      <c r="F17" s="1">
        <f>E17*(1+$B$17)</f>
        <v>107789.51816499999</v>
      </c>
      <c r="G17" s="1">
        <f>F17*(1+$B$17)</f>
        <v>112424.46744609498</v>
      </c>
      <c r="H17" s="1">
        <f>G17*(1+$B$17)</f>
        <v>117258.71954627705</v>
      </c>
      <c r="I17" s="1">
        <f>H17*(1+$B$17)</f>
        <v>122300.84448676695</v>
      </c>
      <c r="J17" s="1">
        <f>I17*(1+$B$17)</f>
        <v>127559.78079969791</v>
      </c>
      <c r="K17" s="1">
        <f>J17*(1+$B$17)</f>
        <v>133044.85137408492</v>
      </c>
      <c r="L17" s="1">
        <f>K17*(1+$B$17)</f>
        <v>138765.77998317056</v>
      </c>
      <c r="M17" s="1">
        <f>L17*(1+$B$17)</f>
        <v>144732.70852244689</v>
      </c>
      <c r="N17" s="1">
        <f>M17*(1+$B$17)</f>
        <v>150956.21498891211</v>
      </c>
    </row>
    <row r="18" spans="1:14" x14ac:dyDescent="0.4">
      <c r="A18" t="s">
        <v>32</v>
      </c>
      <c r="C18" s="1">
        <f>SUM(C13:C17)</f>
        <v>937000</v>
      </c>
      <c r="D18" s="1">
        <f>SUM(D13:D17)</f>
        <v>963383</v>
      </c>
      <c r="E18" s="1">
        <f>SUM(E13:E17)</f>
        <v>991335.69299999997</v>
      </c>
      <c r="F18" s="1">
        <f>SUM(F13:F17)</f>
        <v>1020951.3308869998</v>
      </c>
      <c r="G18" s="1">
        <f>SUM(G13:G17)</f>
        <v>1052328.8201297969</v>
      </c>
      <c r="H18" s="1">
        <f>SUM(H13:H17)</f>
        <v>1085573.0681471704</v>
      </c>
      <c r="I18" s="1">
        <f>SUM(I13:I17)</f>
        <v>1120795.3510602508</v>
      </c>
      <c r="J18" s="1">
        <f>SUM(J13:J17)</f>
        <v>1158113.7041568467</v>
      </c>
      <c r="K18" s="1">
        <f>SUM(K13:K17)</f>
        <v>1197653.3364782911</v>
      </c>
      <c r="L18" s="1">
        <f>SUM(L13:L17)</f>
        <v>1239547.0710273313</v>
      </c>
      <c r="M18" s="1">
        <f>SUM(M13:M17)</f>
        <v>1283935.8121890475</v>
      </c>
      <c r="N18" s="1">
        <f>SUM(N13:N17)</f>
        <v>1330969.0420560949</v>
      </c>
    </row>
    <row r="19" spans="1:14" x14ac:dyDescent="0.4">
      <c r="A19" t="s">
        <v>33</v>
      </c>
    </row>
    <row r="20" spans="1:14" x14ac:dyDescent="0.4">
      <c r="A20" t="s">
        <v>34</v>
      </c>
      <c r="B20" s="2">
        <v>3.5999999999999997E-2</v>
      </c>
      <c r="C20" s="1">
        <v>165000</v>
      </c>
      <c r="D20" s="1">
        <f>C20*(1+$B$20)</f>
        <v>170940</v>
      </c>
      <c r="E20" s="1">
        <f>D20*(1+$B$20)</f>
        <v>177093.84</v>
      </c>
      <c r="F20" s="1">
        <f>E20*(1+$B$20)</f>
        <v>183469.21824000002</v>
      </c>
      <c r="G20" s="1">
        <f>F20*(1+$B$20)</f>
        <v>190074.11009664001</v>
      </c>
      <c r="H20" s="1">
        <f>G20*(1+$B$20)</f>
        <v>196916.77806011905</v>
      </c>
      <c r="I20" s="1">
        <f>H20*(1+$B$20)</f>
        <v>204005.78207028334</v>
      </c>
      <c r="J20" s="1">
        <f>I20*(1+$B$20)</f>
        <v>211349.99022481355</v>
      </c>
      <c r="K20" s="1">
        <f>J20*(1+$B$20)</f>
        <v>218958.58987290683</v>
      </c>
      <c r="L20" s="1">
        <f>K20*(1+$B$20)</f>
        <v>226841.09910833149</v>
      </c>
      <c r="M20" s="1">
        <f>L20*(1+$B$20)</f>
        <v>235007.37867623143</v>
      </c>
      <c r="N20" s="1">
        <f>M20*(1+$B$20)</f>
        <v>243467.64430857578</v>
      </c>
    </row>
    <row r="21" spans="1:14" x14ac:dyDescent="0.4">
      <c r="A21" t="s">
        <v>35</v>
      </c>
      <c r="B21" s="2">
        <v>3.4000000000000002E-2</v>
      </c>
      <c r="C21" s="1">
        <v>388000</v>
      </c>
      <c r="D21" s="1">
        <f>C21*(1+$B$21)</f>
        <v>401192</v>
      </c>
      <c r="E21" s="1">
        <f>D21*(1+$B$21)</f>
        <v>414832.52799999999</v>
      </c>
      <c r="F21" s="1">
        <f>E21*(1+$B$21)</f>
        <v>428936.83395200002</v>
      </c>
      <c r="G21" s="1">
        <f>F21*(1+$B$21)</f>
        <v>443520.68630636804</v>
      </c>
      <c r="H21" s="1">
        <f>G21*(1+$B$21)</f>
        <v>458600.38964078459</v>
      </c>
      <c r="I21" s="1">
        <f>H21*(1+$B$21)</f>
        <v>474192.80288857128</v>
      </c>
      <c r="J21" s="1">
        <f>I21*(1+$B$21)</f>
        <v>490315.35818678275</v>
      </c>
      <c r="K21" s="1">
        <f>J21*(1+$B$21)</f>
        <v>506986.08036513336</v>
      </c>
      <c r="L21" s="1">
        <f>K21*(1+$B$21)</f>
        <v>524223.60709754791</v>
      </c>
      <c r="M21" s="1">
        <f>L21*(1+$B$21)</f>
        <v>542047.20973886456</v>
      </c>
      <c r="N21" s="1">
        <f>M21*(1+$B$21)</f>
        <v>560476.81486998603</v>
      </c>
    </row>
    <row r="22" spans="1:14" x14ac:dyDescent="0.4">
      <c r="A22" t="s">
        <v>36</v>
      </c>
      <c r="B22" s="2">
        <v>2.5000000000000001E-2</v>
      </c>
      <c r="C22" s="1">
        <v>24000</v>
      </c>
      <c r="D22" s="1">
        <f>C22*(1+$B$22)</f>
        <v>24599.999999999996</v>
      </c>
      <c r="E22" s="1">
        <f>D22*(1+$B$22)</f>
        <v>25214.999999999993</v>
      </c>
      <c r="F22" s="1">
        <f>E22*(1+$B$22)</f>
        <v>25845.374999999989</v>
      </c>
      <c r="G22" s="1">
        <f>F22*(1+$B$22)</f>
        <v>26491.509374999987</v>
      </c>
      <c r="H22" s="1">
        <f>G22*(1+$B$22)</f>
        <v>27153.797109374984</v>
      </c>
      <c r="I22" s="1">
        <f>H22*(1+$B$22)</f>
        <v>27832.642037109355</v>
      </c>
      <c r="J22" s="1">
        <f>I22*(1+$B$22)</f>
        <v>28528.458088037089</v>
      </c>
      <c r="K22" s="1">
        <f>J22*(1+$B$22)</f>
        <v>29241.669540238014</v>
      </c>
      <c r="L22" s="1">
        <f>K22*(1+$B$22)</f>
        <v>29972.711278743962</v>
      </c>
      <c r="M22" s="1">
        <f>L22*(1+$B$22)</f>
        <v>30722.029060712557</v>
      </c>
      <c r="N22" s="1">
        <f>M22*(1+$B$22)</f>
        <v>31490.079787230366</v>
      </c>
    </row>
    <row r="23" spans="1:14" x14ac:dyDescent="0.4">
      <c r="A23" t="s">
        <v>37</v>
      </c>
      <c r="B23" s="2">
        <v>6.0999999999999999E-2</v>
      </c>
      <c r="C23" s="1">
        <v>400000</v>
      </c>
      <c r="D23" s="1">
        <f>C23*(1+$B$23)</f>
        <v>424400</v>
      </c>
      <c r="E23" s="1">
        <f>D23*(1+$B$23)</f>
        <v>450288.39999999997</v>
      </c>
      <c r="F23" s="1">
        <f>E23*(1+$B$23)</f>
        <v>477755.99239999993</v>
      </c>
      <c r="G23" s="1">
        <f>F23*(1+$B$23)</f>
        <v>506899.10793639987</v>
      </c>
      <c r="H23" s="1">
        <f>G23*(1+$B$23)</f>
        <v>537819.95352052024</v>
      </c>
      <c r="I23" s="1">
        <f>H23*(1+$B$23)</f>
        <v>570626.9706852719</v>
      </c>
      <c r="J23" s="1">
        <f>I23*(1+$B$23)</f>
        <v>605435.2158970735</v>
      </c>
      <c r="K23" s="1">
        <f>J23*(1+$B$23)</f>
        <v>642366.764066795</v>
      </c>
      <c r="L23" s="1">
        <f>K23*(1+$B$23)</f>
        <v>681551.13667486946</v>
      </c>
      <c r="M23" s="1">
        <f>L23*(1+$B$23)</f>
        <v>723125.75601203647</v>
      </c>
      <c r="N23" s="1">
        <f>M23*(1+$B$23)</f>
        <v>767236.42712877062</v>
      </c>
    </row>
    <row r="24" spans="1:14" x14ac:dyDescent="0.4">
      <c r="A24" t="s">
        <v>38</v>
      </c>
      <c r="C24" s="1">
        <f>SUM(C20:C23)</f>
        <v>977000</v>
      </c>
      <c r="D24" s="1">
        <f>SUM(D20:D23)</f>
        <v>1021132</v>
      </c>
      <c r="E24" s="1">
        <f>SUM(E20:E23)</f>
        <v>1067429.7679999999</v>
      </c>
      <c r="F24" s="1">
        <f>SUM(F20:F23)</f>
        <v>1116007.4195919998</v>
      </c>
      <c r="G24" s="1">
        <f>SUM(G20:G23)</f>
        <v>1166985.4137144079</v>
      </c>
      <c r="H24" s="1">
        <f>SUM(H20:H23)</f>
        <v>1220490.9183307989</v>
      </c>
      <c r="I24" s="1">
        <f>SUM(I20:I23)</f>
        <v>1276658.1976812358</v>
      </c>
      <c r="J24" s="1">
        <f>SUM(J20:J23)</f>
        <v>1335629.022396707</v>
      </c>
      <c r="K24" s="1">
        <f>SUM(K20:K23)</f>
        <v>1397553.1038450731</v>
      </c>
      <c r="L24" s="1">
        <f>SUM(L20:L23)</f>
        <v>1462588.5541594927</v>
      </c>
      <c r="M24" s="1">
        <f>SUM(M20:M23)</f>
        <v>1530902.3734878451</v>
      </c>
      <c r="N24" s="1">
        <f>SUM(N20:N23)</f>
        <v>1602670.9660945628</v>
      </c>
    </row>
    <row r="26" spans="1:14" x14ac:dyDescent="0.4">
      <c r="A26" t="s">
        <v>39</v>
      </c>
      <c r="C26" s="1">
        <f>SUM(C11,C18,C24)</f>
        <v>2580000</v>
      </c>
      <c r="D26" s="1">
        <f>SUM(D11,D18,D24)</f>
        <v>2669864</v>
      </c>
      <c r="E26" s="1">
        <f>SUM(E11,E18,E24)</f>
        <v>2764405.3039999995</v>
      </c>
      <c r="F26" s="1">
        <f>SUM(F11,F18,F24)</f>
        <v>2863885.174904</v>
      </c>
      <c r="G26" s="1">
        <f>SUM(G11,G18,G24)</f>
        <v>2968580.2230952159</v>
      </c>
      <c r="H26" s="1">
        <f>SUM(H11,H18,H24)</f>
        <v>3078783.3337177364</v>
      </c>
      <c r="I26" s="1">
        <f>SUM(I11,I18,I24)</f>
        <v>3194804.6509484751</v>
      </c>
      <c r="J26" s="1">
        <f>SUM(J11,J18,J24)</f>
        <v>3316972.622798752</v>
      </c>
      <c r="K26" s="1">
        <f>SUM(K11,K18,K24)</f>
        <v>3445635.1102061057</v>
      </c>
      <c r="L26" s="1">
        <f>SUM(L11,L18,L24)</f>
        <v>3581160.5644120816</v>
      </c>
      <c r="M26" s="1">
        <f>SUM(M11,M18,M24)</f>
        <v>3723939.276871644</v>
      </c>
      <c r="N26" s="1">
        <f>SUM(N11,N18,N24)</f>
        <v>3874384.7062054984</v>
      </c>
    </row>
    <row r="27" spans="1:14" x14ac:dyDescent="0.4">
      <c r="A27" t="s">
        <v>40</v>
      </c>
      <c r="C27" s="2">
        <f>C26/$C$26</f>
        <v>1</v>
      </c>
      <c r="D27" s="2">
        <f>D26/$C$26</f>
        <v>1.034831007751938</v>
      </c>
      <c r="E27" s="2">
        <f>E26/$C$26</f>
        <v>1.0714749240310075</v>
      </c>
      <c r="F27" s="2">
        <f>F26/$C$26</f>
        <v>1.1100330135286822</v>
      </c>
      <c r="G27" s="2">
        <f>G26/$C$26</f>
        <v>1.1506124895717891</v>
      </c>
      <c r="H27" s="2">
        <f>H26/$C$26</f>
        <v>1.1933268735340063</v>
      </c>
      <c r="I27" s="2">
        <f>I26/$C$26</f>
        <v>1.2382963763366182</v>
      </c>
      <c r="J27" s="2">
        <f>J26/$C$26</f>
        <v>1.285648303410369</v>
      </c>
      <c r="K27" s="2">
        <f>K26/$C$26</f>
        <v>1.33551748457601</v>
      </c>
      <c r="L27" s="2">
        <f>L26/$C$26</f>
        <v>1.3880467303922797</v>
      </c>
      <c r="M27" s="2">
        <f>M26/$C$26</f>
        <v>1.4433873166169162</v>
      </c>
      <c r="N27" s="2">
        <f>N26/$C$26</f>
        <v>1.5016994985292629</v>
      </c>
    </row>
    <row r="29" spans="1:14" x14ac:dyDescent="0.4">
      <c r="A29" t="s">
        <v>41</v>
      </c>
      <c r="C29" s="1">
        <f>SUM(C26:N26)</f>
        <v>38062414.96715951</v>
      </c>
    </row>
    <row r="30" spans="1:14" x14ac:dyDescent="0.4">
      <c r="A30" t="s">
        <v>42</v>
      </c>
      <c r="C30" s="1">
        <f>ROUND(C29/Assumptions!B2,0)</f>
        <v>3806241</v>
      </c>
    </row>
    <row r="31" spans="1:14" x14ac:dyDescent="0.4">
      <c r="A31" t="s">
        <v>43</v>
      </c>
      <c r="C31">
        <f>ROUND(Assumptions!B3/AVERAGE(C26:N26),1)</f>
        <v>1.9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623CC-6335-4EE1-AB14-16B9BC8123D3}">
  <dimension ref="A1:B3"/>
  <sheetViews>
    <sheetView workbookViewId="0"/>
  </sheetViews>
  <sheetFormatPr defaultRowHeight="18.75" x14ac:dyDescent="0.4"/>
  <cols>
    <col min="2" max="2" width="10.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10</v>
      </c>
    </row>
    <row r="3" spans="1:2" x14ac:dyDescent="0.4">
      <c r="A3" t="s">
        <v>3</v>
      </c>
      <c r="B3" s="1">
        <v>5900000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Model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太田　悠介</dc:creator>
  <cp:lastModifiedBy>太田　悠介</cp:lastModifiedBy>
  <dcterms:created xsi:type="dcterms:W3CDTF">2026-09-03T08:10:08Z</dcterms:created>
  <dcterms:modified xsi:type="dcterms:W3CDTF">2026-09-03T08:10:19Z</dcterms:modified>
</cp:coreProperties>
</file>