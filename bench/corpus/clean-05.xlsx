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35FF1189-F8CB-410A-87AA-C71FE7775159}" xr6:coauthVersionLast="47" xr6:coauthVersionMax="47" xr10:uidLastSave="{00000000-0000-0000-0000-000000000000}"/>
  <bookViews>
    <workbookView xWindow="-120" yWindow="-120" windowWidth="29040" windowHeight="15720" xr2:uid="{A689BDC9-0130-49B4-A28E-9E0B64F6DFC1}"/>
  </bookViews>
  <sheets>
    <sheet name="Model" sheetId="2" r:id="rId1"/>
    <sheet name="Assum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2" l="1"/>
  <c r="C23" i="2"/>
  <c r="C22" i="2"/>
  <c r="N20" i="2"/>
  <c r="M20" i="2"/>
  <c r="L20" i="2"/>
  <c r="K20" i="2"/>
  <c r="J20" i="2"/>
  <c r="I20" i="2"/>
  <c r="H20" i="2"/>
  <c r="G20" i="2"/>
  <c r="F20" i="2"/>
  <c r="E20" i="2"/>
  <c r="D20" i="2"/>
  <c r="C20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3" i="2"/>
  <c r="M13" i="2"/>
  <c r="L13" i="2"/>
  <c r="K13" i="2"/>
  <c r="J13" i="2"/>
  <c r="I13" i="2"/>
  <c r="H13" i="2"/>
  <c r="G13" i="2"/>
  <c r="F13" i="2"/>
  <c r="E13" i="2"/>
  <c r="D13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</calcChain>
</file>

<file path=xl/sharedStrings.xml><?xml version="1.0" encoding="utf-8"?>
<sst xmlns="http://schemas.openxmlformats.org/spreadsheetml/2006/main" count="35" uniqueCount="35">
  <si>
    <t>Assumption</t>
  </si>
  <si>
    <t>Value</t>
  </si>
  <si>
    <t>Headcount</t>
  </si>
  <si>
    <t>Cash on hand</t>
  </si>
  <si>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</si>
  <si>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</si>
  <si>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</si>
  <si>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</si>
  <si>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</si>
  <si>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</si>
  <si>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</si>
  <si>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</si>
  <si>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</si>
  <si>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</si>
  <si>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</si>
  <si>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</si>
  <si>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</si>
  <si>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</si>
  <si>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</si>
  <si>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Support</t>
  </si>
  <si>
    <t>Recruiting</t>
  </si>
  <si>
    <t>Data vendors</t>
  </si>
  <si>
    <t>Training</t>
  </si>
  <si>
    <t>Total revenue</t>
  </si>
  <si>
    <t>COST OF SALES</t>
  </si>
  <si>
    <t>Subscriptions</t>
  </si>
  <si>
    <t>Events</t>
  </si>
  <si>
    <t>Agency fees</t>
  </si>
  <si>
    <t>Contractors</t>
  </si>
  <si>
    <t>Benefits</t>
  </si>
  <si>
    <t>Total cost of sales</t>
  </si>
  <si>
    <t>Grand total</t>
  </si>
  <si>
    <t>Full year</t>
  </si>
  <si>
    <t>Per head</t>
  </si>
  <si>
    <t>Months of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</si>
</sst>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E4E5-CC77-4F21-A247-B152138E5B06}">
  <dimension ref="A1:N24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9" width="10.625" bestFit="1" customWidth="1"/>
    <col min="10" max="14" width="10.75" bestFit="1" customWidth="1"/>
  </cols>
  <sheetData>
    <row r="1" spans="1:14" x14ac:dyDescent="0.4">
      <c r="A1" t="s">
        <v>4</v>
      </c>
    </row>
    <row r="3" spans="1:14" x14ac:dyDescent="0.4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</row>
    <row r="5" spans="1:14" x14ac:dyDescent="0.4">
      <c r="A5" t="s">
        <v>18</v>
      </c>
    </row>
    <row r="6" spans="1:14" x14ac:dyDescent="0.4">
      <c r="A6" t="s">
        <v>19</v>
      </c>
      <c r="B6" s="2">
        <v>5.6000000000000001E-2</v>
      </c>
      <c r="C6" s="1">
        <v>223000</v>
      </c>
      <c r="D6" s="1">
        <f>C6*(1+$B$6)</f>
        <v>235488</v>
      </c>
      <c r="E6" s="1">
        <f>D6*(1+$B$6)</f>
        <v>248675.32800000001</v>
      </c>
      <c r="F6" s="1">
        <f>E6*(1+$B$6)</f>
        <v>262601.14636800002</v>
      </c>
      <c r="G6" s="1">
        <f>F6*(1+$B$6)</f>
        <v>277306.81056460802</v>
      </c>
      <c r="H6" s="1">
        <f>G6*(1+$B$6)</f>
        <v>292835.99195622606</v>
      </c>
      <c r="I6" s="1">
        <f>H6*(1+$B$6)</f>
        <v>309234.80750577472</v>
      </c>
      <c r="J6" s="1">
        <f>I6*(1+$B$6)</f>
        <v>326551.95672609814</v>
      </c>
      <c r="K6" s="1">
        <f>J6*(1+$B$6)</f>
        <v>344838.86630275968</v>
      </c>
      <c r="L6" s="1">
        <f>K6*(1+$B$6)</f>
        <v>364149.84281571425</v>
      </c>
      <c r="M6" s="1">
        <f>L6*(1+$B$6)</f>
        <v>384542.23401339428</v>
      </c>
      <c r="N6" s="1">
        <f>M6*(1+$B$6)</f>
        <v>406076.59911814437</v>
      </c>
    </row>
    <row r="7" spans="1:14" x14ac:dyDescent="0.4">
      <c r="A7" t="s">
        <v>20</v>
      </c>
      <c r="B7" s="2">
        <v>5.8000000000000003E-2</v>
      </c>
      <c r="C7" s="1">
        <v>42000</v>
      </c>
      <c r="D7" s="1">
        <f>C7*(1+$B$7)</f>
        <v>44436</v>
      </c>
      <c r="E7" s="1">
        <f>D7*(1+$B$7)</f>
        <v>47013.288</v>
      </c>
      <c r="F7" s="1">
        <f>E7*(1+$B$7)</f>
        <v>49740.058704000003</v>
      </c>
      <c r="G7" s="1">
        <f>F7*(1+$B$7)</f>
        <v>52624.982108832002</v>
      </c>
      <c r="H7" s="1">
        <f>G7*(1+$B$7)</f>
        <v>55677.231071144262</v>
      </c>
      <c r="I7" s="1">
        <f>H7*(1+$B$7)</f>
        <v>58906.510473270631</v>
      </c>
      <c r="J7" s="1">
        <f>I7*(1+$B$7)</f>
        <v>62323.088080720328</v>
      </c>
      <c r="K7" s="1">
        <f>J7*(1+$B$7)</f>
        <v>65937.827189402116</v>
      </c>
      <c r="L7" s="1">
        <f>K7*(1+$B$7)</f>
        <v>69762.221166387448</v>
      </c>
      <c r="M7" s="1">
        <f>L7*(1+$B$7)</f>
        <v>73808.429994037928</v>
      </c>
      <c r="N7" s="1">
        <f>M7*(1+$B$7)</f>
        <v>78089.318933692135</v>
      </c>
    </row>
    <row r="8" spans="1:14" x14ac:dyDescent="0.4">
      <c r="A8" t="s">
        <v>21</v>
      </c>
      <c r="B8" s="2">
        <v>0.05</v>
      </c>
      <c r="C8" s="1">
        <v>190000</v>
      </c>
      <c r="D8" s="1">
        <f>C8*(1+$B$8)</f>
        <v>199500</v>
      </c>
      <c r="E8" s="1">
        <f>D8*(1+$B$8)</f>
        <v>209475</v>
      </c>
      <c r="F8" s="1">
        <f>E8*(1+$B$8)</f>
        <v>219948.75</v>
      </c>
      <c r="G8" s="1">
        <f>F8*(1+$B$8)</f>
        <v>230946.1875</v>
      </c>
      <c r="H8" s="1">
        <f>G8*(1+$B$8)</f>
        <v>242493.49687500001</v>
      </c>
      <c r="I8" s="1">
        <f>H8*(1+$B$8)</f>
        <v>254618.17171875003</v>
      </c>
      <c r="J8" s="1">
        <f>I8*(1+$B$8)</f>
        <v>267349.08030468755</v>
      </c>
      <c r="K8" s="1">
        <f>J8*(1+$B$8)</f>
        <v>280716.53431992192</v>
      </c>
      <c r="L8" s="1">
        <f>K8*(1+$B$8)</f>
        <v>294752.361035918</v>
      </c>
      <c r="M8" s="1">
        <f>L8*(1+$B$8)</f>
        <v>309489.97908771393</v>
      </c>
      <c r="N8" s="1">
        <f>M8*(1+$B$8)</f>
        <v>324964.47804209962</v>
      </c>
    </row>
    <row r="9" spans="1:14" x14ac:dyDescent="0.4">
      <c r="A9" t="s">
        <v>22</v>
      </c>
      <c r="B9" s="2">
        <v>6.2E-2</v>
      </c>
      <c r="C9" s="1">
        <v>246000</v>
      </c>
      <c r="D9" s="1">
        <f>C9*(1+$B$9)</f>
        <v>261252</v>
      </c>
      <c r="E9" s="1">
        <f>D9*(1+$B$9)</f>
        <v>277449.62400000001</v>
      </c>
      <c r="F9" s="1">
        <f>E9*(1+$B$9)</f>
        <v>294651.500688</v>
      </c>
      <c r="G9" s="1">
        <f>F9*(1+$B$9)</f>
        <v>312919.89373065601</v>
      </c>
      <c r="H9" s="1">
        <f>G9*(1+$B$9)</f>
        <v>332320.92714195669</v>
      </c>
      <c r="I9" s="1">
        <f>H9*(1+$B$9)</f>
        <v>352924.82462475804</v>
      </c>
      <c r="J9" s="1">
        <f>I9*(1+$B$9)</f>
        <v>374806.16375149303</v>
      </c>
      <c r="K9" s="1">
        <f>J9*(1+$B$9)</f>
        <v>398044.1459040856</v>
      </c>
      <c r="L9" s="1">
        <f>K9*(1+$B$9)</f>
        <v>422722.88295013894</v>
      </c>
      <c r="M9" s="1">
        <f>L9*(1+$B$9)</f>
        <v>448931.70169304759</v>
      </c>
      <c r="N9" s="1">
        <f>M9*(1+$B$9)</f>
        <v>476765.46719801659</v>
      </c>
    </row>
    <row r="10" spans="1:14" x14ac:dyDescent="0.4">
      <c r="A10" t="s">
        <v>23</v>
      </c>
      <c r="C10" s="1">
        <f>SUM(C6:C9)</f>
        <v>701000</v>
      </c>
      <c r="D10" s="1">
        <f>SUM(D6:D9)</f>
        <v>740676</v>
      </c>
      <c r="E10" s="1">
        <f>SUM(E6:E9)</f>
        <v>782613.24</v>
      </c>
      <c r="F10" s="1">
        <f>SUM(F6:F9)</f>
        <v>826941.45576000004</v>
      </c>
      <c r="G10" s="1">
        <f>SUM(G6:G9)</f>
        <v>873797.87390409596</v>
      </c>
      <c r="H10" s="1">
        <f>SUM(H6:H9)</f>
        <v>923327.64704432711</v>
      </c>
      <c r="I10" s="1">
        <f>SUM(I6:I9)</f>
        <v>975684.31432255334</v>
      </c>
      <c r="J10" s="1">
        <f>SUM(J6:J9)</f>
        <v>1031030.2888629991</v>
      </c>
      <c r="K10" s="1">
        <f>SUM(K6:K9)</f>
        <v>1089537.3737161693</v>
      </c>
      <c r="L10" s="1">
        <f>SUM(L6:L9)</f>
        <v>1151387.3079681587</v>
      </c>
      <c r="M10" s="1">
        <f>SUM(M6:M9)</f>
        <v>1216772.3447881937</v>
      </c>
      <c r="N10" s="1">
        <f>SUM(N6:N9)</f>
        <v>1285895.8632919528</v>
      </c>
    </row>
    <row r="12" spans="1:14" x14ac:dyDescent="0.4">
      <c r="A12" t="s">
        <v>24</v>
      </c>
    </row>
    <row r="13" spans="1:14" x14ac:dyDescent="0.4">
      <c r="A13" t="s">
        <v>25</v>
      </c>
      <c r="B13" s="2">
        <v>4.8000000000000001E-2</v>
      </c>
      <c r="C13" s="1">
        <v>106000</v>
      </c>
      <c r="D13" s="1">
        <f>C13*(1+$B$13)</f>
        <v>111088</v>
      </c>
      <c r="E13" s="1">
        <f>D13*(1+$B$13)</f>
        <v>116420.224</v>
      </c>
      <c r="F13" s="1">
        <f>E13*(1+$B$13)</f>
        <v>122008.39475200001</v>
      </c>
      <c r="G13" s="1">
        <f>F13*(1+$B$13)</f>
        <v>127864.79770009601</v>
      </c>
      <c r="H13" s="1">
        <f>G13*(1+$B$13)</f>
        <v>134002.30798970061</v>
      </c>
      <c r="I13" s="1">
        <f>H13*(1+$B$13)</f>
        <v>140434.41877320624</v>
      </c>
      <c r="J13" s="1">
        <f>I13*(1+$B$13)</f>
        <v>147175.27087432015</v>
      </c>
      <c r="K13" s="1">
        <f>J13*(1+$B$13)</f>
        <v>154239.68387628751</v>
      </c>
      <c r="L13" s="1">
        <f>K13*(1+$B$13)</f>
        <v>161643.18870234932</v>
      </c>
      <c r="M13" s="1">
        <f>L13*(1+$B$13)</f>
        <v>169402.06176006209</v>
      </c>
      <c r="N13" s="1">
        <f>M13*(1+$B$13)</f>
        <v>177533.36072454508</v>
      </c>
    </row>
    <row r="14" spans="1:14" x14ac:dyDescent="0.4">
      <c r="A14" t="s">
        <v>26</v>
      </c>
      <c r="B14" s="2">
        <v>6.3E-2</v>
      </c>
      <c r="C14" s="1">
        <v>351000</v>
      </c>
      <c r="D14" s="1">
        <f>C14*(1+$B$14)</f>
        <v>373113</v>
      </c>
      <c r="E14" s="1">
        <f>D14*(1+$B$14)</f>
        <v>396619.11900000001</v>
      </c>
      <c r="F14" s="1">
        <f>E14*(1+$B$14)</f>
        <v>421606.12349699996</v>
      </c>
      <c r="G14" s="1">
        <f>F14*(1+$B$14)</f>
        <v>448167.30927731097</v>
      </c>
      <c r="H14" s="1">
        <f>G14*(1+$B$14)</f>
        <v>476401.84976178152</v>
      </c>
      <c r="I14" s="1">
        <f>H14*(1+$B$14)</f>
        <v>506415.16629677371</v>
      </c>
      <c r="J14" s="1">
        <f>I14*(1+$B$14)</f>
        <v>538319.32177347038</v>
      </c>
      <c r="K14" s="1">
        <f>J14*(1+$B$14)</f>
        <v>572233.43904519896</v>
      </c>
      <c r="L14" s="1">
        <f>K14*(1+$B$14)</f>
        <v>608284.14570504648</v>
      </c>
      <c r="M14" s="1">
        <f>L14*(1+$B$14)</f>
        <v>646606.04688446433</v>
      </c>
      <c r="N14" s="1">
        <f>M14*(1+$B$14)</f>
        <v>687342.2278381855</v>
      </c>
    </row>
    <row r="15" spans="1:14" x14ac:dyDescent="0.4">
      <c r="A15" t="s">
        <v>27</v>
      </c>
      <c r="B15" s="2">
        <v>-1.9E-2</v>
      </c>
      <c r="C15" s="1">
        <v>61000</v>
      </c>
      <c r="D15" s="1">
        <f>C15*(1+$B$15)</f>
        <v>59841</v>
      </c>
      <c r="E15" s="1">
        <f>D15*(1+$B$15)</f>
        <v>58704.021000000001</v>
      </c>
      <c r="F15" s="1">
        <f>E15*(1+$B$15)</f>
        <v>57588.644601</v>
      </c>
      <c r="G15" s="1">
        <f>F15*(1+$B$15)</f>
        <v>56494.460353581002</v>
      </c>
      <c r="H15" s="1">
        <f>G15*(1+$B$15)</f>
        <v>55421.065606862961</v>
      </c>
      <c r="I15" s="1">
        <f>H15*(1+$B$15)</f>
        <v>54368.065360332563</v>
      </c>
      <c r="J15" s="1">
        <f>I15*(1+$B$15)</f>
        <v>53335.072118486241</v>
      </c>
      <c r="K15" s="1">
        <f>J15*(1+$B$15)</f>
        <v>52321.705748234999</v>
      </c>
      <c r="L15" s="1">
        <f>K15*(1+$B$15)</f>
        <v>51327.593339018531</v>
      </c>
      <c r="M15" s="1">
        <f>L15*(1+$B$15)</f>
        <v>50352.369065577179</v>
      </c>
      <c r="N15" s="1">
        <f>M15*(1+$B$15)</f>
        <v>49395.674053331211</v>
      </c>
    </row>
    <row r="16" spans="1:14" x14ac:dyDescent="0.4">
      <c r="A16" t="s">
        <v>28</v>
      </c>
      <c r="B16" s="2">
        <v>1.2999999999999999E-2</v>
      </c>
      <c r="C16" s="1">
        <v>295000</v>
      </c>
      <c r="D16" s="1">
        <f>C16*(1+$B$16)</f>
        <v>298834.99999999994</v>
      </c>
      <c r="E16" s="1">
        <f>D16*(1+$B$16)</f>
        <v>302719.85499999992</v>
      </c>
      <c r="F16" s="1">
        <f>E16*(1+$B$16)</f>
        <v>306655.21311499987</v>
      </c>
      <c r="G16" s="1">
        <f>F16*(1+$B$16)</f>
        <v>310641.73088549485</v>
      </c>
      <c r="H16" s="1">
        <f>G16*(1+$B$16)</f>
        <v>314680.07338700624</v>
      </c>
      <c r="I16" s="1">
        <f>H16*(1+$B$16)</f>
        <v>318770.91434103728</v>
      </c>
      <c r="J16" s="1">
        <f>I16*(1+$B$16)</f>
        <v>322914.93622747075</v>
      </c>
      <c r="K16" s="1">
        <f>J16*(1+$B$16)</f>
        <v>327112.83039842785</v>
      </c>
      <c r="L16" s="1">
        <f>K16*(1+$B$16)</f>
        <v>331365.29719360737</v>
      </c>
      <c r="M16" s="1">
        <f>L16*(1+$B$16)</f>
        <v>335673.04605712421</v>
      </c>
      <c r="N16" s="1">
        <f>M16*(1+$B$16)</f>
        <v>340036.79565586679</v>
      </c>
    </row>
    <row r="17" spans="1:14" x14ac:dyDescent="0.4">
      <c r="A17" t="s">
        <v>29</v>
      </c>
      <c r="B17" s="2">
        <v>4.0000000000000001E-3</v>
      </c>
      <c r="C17" s="1">
        <v>236000</v>
      </c>
      <c r="D17" s="1">
        <f>C17*(1+$B$17)</f>
        <v>236944</v>
      </c>
      <c r="E17" s="1">
        <f>D17*(1+$B$17)</f>
        <v>237891.77600000001</v>
      </c>
      <c r="F17" s="1">
        <f>E17*(1+$B$17)</f>
        <v>238843.343104</v>
      </c>
      <c r="G17" s="1">
        <f>F17*(1+$B$17)</f>
        <v>239798.71647641601</v>
      </c>
      <c r="H17" s="1">
        <f>G17*(1+$B$17)</f>
        <v>240757.91134232166</v>
      </c>
      <c r="I17" s="1">
        <f>H17*(1+$B$17)</f>
        <v>241720.94298769094</v>
      </c>
      <c r="J17" s="1">
        <f>I17*(1+$B$17)</f>
        <v>242687.8267596417</v>
      </c>
      <c r="K17" s="1">
        <f>J17*(1+$B$17)</f>
        <v>243658.57806668026</v>
      </c>
      <c r="L17" s="1">
        <f>K17*(1+$B$17)</f>
        <v>244633.21237894698</v>
      </c>
      <c r="M17" s="1">
        <f>L17*(1+$B$17)</f>
        <v>245611.74522846277</v>
      </c>
      <c r="N17" s="1">
        <f>M17*(1+$B$17)</f>
        <v>246594.1922093766</v>
      </c>
    </row>
    <row r="18" spans="1:14" x14ac:dyDescent="0.4">
      <c r="A18" t="s">
        <v>30</v>
      </c>
      <c r="C18" s="1">
        <f>SUM(C13:C17)</f>
        <v>1049000</v>
      </c>
      <c r="D18" s="1">
        <f>SUM(D13:D17)</f>
        <v>1079821</v>
      </c>
      <c r="E18" s="1">
        <f>SUM(E13:E17)</f>
        <v>1112354.9949999999</v>
      </c>
      <c r="F18" s="1">
        <f>SUM(F13:F17)</f>
        <v>1146701.7190689999</v>
      </c>
      <c r="G18" s="1">
        <f>SUM(G13:G17)</f>
        <v>1182967.0146928988</v>
      </c>
      <c r="H18" s="1">
        <f>SUM(H13:H17)</f>
        <v>1221263.2080876729</v>
      </c>
      <c r="I18" s="1">
        <f>SUM(I13:I17)</f>
        <v>1261709.5077590409</v>
      </c>
      <c r="J18" s="1">
        <f>SUM(J13:J17)</f>
        <v>1304432.4277533893</v>
      </c>
      <c r="K18" s="1">
        <f>SUM(K13:K17)</f>
        <v>1349566.2371348296</v>
      </c>
      <c r="L18" s="1">
        <f>SUM(L13:L17)</f>
        <v>1397253.4373189688</v>
      </c>
      <c r="M18" s="1">
        <f>SUM(M13:M17)</f>
        <v>1447645.2689956906</v>
      </c>
      <c r="N18" s="1">
        <f>SUM(N13:N17)</f>
        <v>1500902.2504813052</v>
      </c>
    </row>
    <row r="20" spans="1:14" x14ac:dyDescent="0.4">
      <c r="A20" t="s">
        <v>31</v>
      </c>
      <c r="C20" s="1">
        <f>SUM(C10,C18)</f>
        <v>1750000</v>
      </c>
      <c r="D20" s="1">
        <f>SUM(D10,D18)</f>
        <v>1820497</v>
      </c>
      <c r="E20" s="1">
        <f>SUM(E10,E18)</f>
        <v>1894968.2349999999</v>
      </c>
      <c r="F20" s="1">
        <f>SUM(F10,F18)</f>
        <v>1973643.1748289999</v>
      </c>
      <c r="G20" s="1">
        <f>SUM(G10,G18)</f>
        <v>2056764.8885969948</v>
      </c>
      <c r="H20" s="1">
        <f>SUM(H10,H18)</f>
        <v>2144590.8551320001</v>
      </c>
      <c r="I20" s="1">
        <f>SUM(I10,I18)</f>
        <v>2237393.8220815943</v>
      </c>
      <c r="J20" s="1">
        <f>SUM(J10,J18)</f>
        <v>2335462.7166163884</v>
      </c>
      <c r="K20" s="1">
        <f>SUM(K10,K18)</f>
        <v>2439103.6108509991</v>
      </c>
      <c r="L20" s="1">
        <f>SUM(L10,L18)</f>
        <v>2548640.7452871278</v>
      </c>
      <c r="M20" s="1">
        <f>SUM(M10,M18)</f>
        <v>2664417.6137838843</v>
      </c>
      <c r="N20" s="1">
        <f>SUM(N10,N18)</f>
        <v>2786798.1137732579</v>
      </c>
    </row>
    <row r="22" spans="1:14" x14ac:dyDescent="0.4">
      <c r="A22" t="s">
        <v>32</v>
      </c>
      <c r="C22" s="1">
        <f>SUM(C20:N20)</f>
        <v>26652280.775951248</v>
      </c>
    </row>
    <row r="23" spans="1:14" x14ac:dyDescent="0.4">
      <c r="A23" t="s">
        <v>33</v>
      </c>
      <c r="C23" s="1">
        <f>ROUND(C22/Assumptions!B2,0)</f>
        <v>451734</v>
      </c>
    </row>
    <row r="24" spans="1:14" x14ac:dyDescent="0.4">
      <c r="A24" t="s">
        <v>34</v>
      </c>
      <c r="C24">
        <f>ROUND(Assumptions!B3/AVERAGE(C20:N20),1)</f>
        <v>1.2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A285-DCCA-4063-BC24-036C95B3147C}">
  <dimension ref="A1:B3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59</v>
      </c>
    </row>
    <row r="3" spans="1:2" x14ac:dyDescent="0.4">
      <c r="A3" t="s">
        <v>3</v>
      </c>
      <c r="B3" s="1">
        <v>2600000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2026-09-03T08:10:33Z</dcterms:created>
  <dcterms:modified xsi:type="dcterms:W3CDTF">2026-09-03T08:10:40Z</dcterms:modified>
</cp:coreProperties>
</file>