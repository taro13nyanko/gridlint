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yank\Desktop\後藤さんのclaude\ai-builders-2026\gridlint\bench\corpus\"/>
    </mc:Choice>
  </mc:AlternateContent>
  <xr:revisionPtr revIDLastSave="0" documentId="8_{B1CAB305-D12D-44EA-B9A8-C51B0B4E2ADB}" xr6:coauthVersionLast="47" xr6:coauthVersionMax="47" xr10:uidLastSave="{00000000-0000-0000-0000-000000000000}"/>
  <bookViews>
    <workbookView xWindow="-120" yWindow="-120" windowWidth="29040" windowHeight="15720" xr2:uid="{B208338A-F71C-47BD-B77E-9F088821E8E6}"/>
  </bookViews>
  <sheets>
    <sheet name="Model" sheetId="2" r:id="rId1"/>
    <sheet name="Assumptions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16" i="2" l="1"/>
  <c r="C15" i="2"/>
  <c r="C14" i="2"/>
  <c r="H12" i="2"/>
  <c r="G12" i="2"/>
  <c r="F12" i="2"/>
  <c r="E12" i="2"/>
  <c r="D12" i="2"/>
  <c r="C12" i="2"/>
  <c r="H11" i="2"/>
  <c r="G11" i="2"/>
  <c r="F11" i="2"/>
  <c r="E11" i="2"/>
  <c r="D11" i="2"/>
  <c r="H10" i="2"/>
  <c r="G10" i="2"/>
  <c r="F10" i="2"/>
  <c r="E10" i="2"/>
  <c r="D10" i="2"/>
  <c r="H9" i="2"/>
  <c r="G9" i="2"/>
  <c r="F9" i="2"/>
  <c r="E9" i="2"/>
  <c r="D9" i="2"/>
  <c r="H8" i="2"/>
  <c r="G8" i="2"/>
  <c r="F8" i="2"/>
  <c r="E8" i="2"/>
  <c r="D8" i="2"/>
  <c r="H7" i="2"/>
  <c r="G7" i="2"/>
  <c r="F7" i="2"/>
  <c r="E7" i="2"/>
  <c r="D7" i="2"/>
  <c r="H6" i="2"/>
  <c r="G6" i="2"/>
  <c r="F6" i="2"/>
  <c r="E6" i="2"/>
  <c r="D6" i="2"/>
</calcChain>
</file>

<file path=xl/sharedStrings.xml><?xml version="1.0" encoding="utf-8"?>
<sst xmlns="http://schemas.openxmlformats.org/spreadsheetml/2006/main" count="23" uniqueCount="23">
  <si>
    <t>Assumption</t>
  </si>
  <si>
    <t>Value</t>
  </si>
  <si>
    <t>Headcount</t>
  </si>
  <si>
    <t>Cash on hand</t>
  </si>
  <si>
    <t>Plan</t>
  </si>
  <si>
    <t>Growth</t>
  </si>
  <si>
    <t>Jan</t>
  </si>
  <si>
    <t>Feb</t>
  </si>
  <si>
    <t>Mar</t>
  </si>
  <si>
    <t>Apr</t>
  </si>
  <si>
    <t>May</t>
  </si>
  <si>
    <t>Jun</t>
  </si>
  <si>
    <t>REVENUE</t>
  </si>
  <si>
    <t>Content</t>
  </si>
  <si>
    <t>Office rent</t>
  </si>
  <si>
    <t>Recruiting</t>
  </si>
  <si>
    <t>Cloud hosting</t>
  </si>
  <si>
    <t>Events</t>
  </si>
  <si>
    <t>Licences</t>
  </si>
  <si>
    <t>Total revenue</t>
  </si>
  <si>
    <t>Full year</t>
  </si>
  <si>
    <t>Per head</t>
  </si>
  <si>
    <t>Months of cash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</si>
</sst>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9" formatCode="\$#,##0"/>
    <numFmt numFmtId="180" formatCode="0.0%"/>
  </numFmts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179" fontId="0" fillId="0" borderId="0" xfId="0" applyNumberFormat="1">
      <alignment vertical="center"/>
    </xf>
    <xf numFmtId="180" fontId="0" fillId="0" borderId="0" xfId="0" applyNumberForma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567650-2D46-44FE-B4D3-A4C0A07AFDCA}">
  <dimension ref="A1:H16"/>
  <sheetViews>
    <sheetView tabSelected="1" workbookViewId="0"/>
  </sheetViews>
  <sheetFormatPr defaultRowHeight="18.75" x14ac:dyDescent="0.4"/>
  <cols>
    <col min="1" max="1" width="28.625" customWidth="1"/>
    <col min="3" max="8" width="10.625" bestFit="1" customWidth="1"/>
  </cols>
  <sheetData>
    <row r="1" spans="1:8" x14ac:dyDescent="0.4">
      <c r="A1" t="s">
        <v>4</v>
      </c>
    </row>
    <row r="3" spans="1:8" x14ac:dyDescent="0.4">
      <c r="B3" t="s">
        <v>5</v>
      </c>
      <c r="C3" t="s">
        <v>6</v>
      </c>
      <c r="D3" t="s">
        <v>7</v>
      </c>
      <c r="E3" t="s">
        <v>8</v>
      </c>
      <c r="F3" t="s">
        <v>9</v>
      </c>
      <c r="G3" t="s">
        <v>10</v>
      </c>
      <c r="H3" t="s">
        <v>11</v>
      </c>
    </row>
    <row r="5" spans="1:8" x14ac:dyDescent="0.4">
      <c r="A5" t="s">
        <v>12</v>
      </c>
    </row>
    <row r="6" spans="1:8" x14ac:dyDescent="0.4">
      <c r="A6" t="s">
        <v>13</v>
      </c>
      <c r="B6" s="2">
        <v>0.02</v>
      </c>
      <c r="C6" s="1">
        <v>329000</v>
      </c>
      <c r="D6" s="1">
        <f>C6*(1+$B$6)</f>
        <v>335580</v>
      </c>
      <c r="E6" s="1">
        <f>D6*(1+$B$6)</f>
        <v>342291.60000000003</v>
      </c>
      <c r="F6" s="1">
        <f>E6*(1+$B$6)</f>
        <v>349137.43200000003</v>
      </c>
      <c r="G6" s="1">
        <f>F6*(1+$B$6)</f>
        <v>356120.18064000004</v>
      </c>
      <c r="H6" s="1">
        <f>G6*(1+$B$6)</f>
        <v>363242.58425280004</v>
      </c>
    </row>
    <row r="7" spans="1:8" x14ac:dyDescent="0.4">
      <c r="A7" t="s">
        <v>14</v>
      </c>
      <c r="B7" s="2">
        <v>-1.4E-2</v>
      </c>
      <c r="C7" s="1">
        <v>318000</v>
      </c>
      <c r="D7" s="1">
        <f>C7*(1+$B$7)</f>
        <v>313548</v>
      </c>
      <c r="E7" s="1">
        <f>D7*(1+$B$7)</f>
        <v>309158.32799999998</v>
      </c>
      <c r="F7" s="1">
        <f>E7*(1+$B$7)</f>
        <v>304830.111408</v>
      </c>
      <c r="G7" s="1">
        <f>F7*(1+$B$7)</f>
        <v>300562.48984828801</v>
      </c>
      <c r="H7" s="1">
        <f>G7*(1+$B$7)</f>
        <v>296354.61499041197</v>
      </c>
    </row>
    <row r="8" spans="1:8" x14ac:dyDescent="0.4">
      <c r="A8" t="s">
        <v>15</v>
      </c>
      <c r="B8" s="2">
        <v>7.3999999999999996E-2</v>
      </c>
      <c r="C8" s="1">
        <v>291000</v>
      </c>
      <c r="D8" s="1">
        <f>C8*(1+$B$8)</f>
        <v>312534</v>
      </c>
      <c r="E8" s="1">
        <f>D8*(1+$B$8)</f>
        <v>335661.516</v>
      </c>
      <c r="F8" s="1">
        <f>E8*(1+$B$8)</f>
        <v>360500.468184</v>
      </c>
      <c r="G8" s="1">
        <f>F8*(1+$B$8)</f>
        <v>387177.50282961602</v>
      </c>
      <c r="H8" s="1">
        <f>G8*(1+$B$8)</f>
        <v>415828.63803900761</v>
      </c>
    </row>
    <row r="9" spans="1:8" x14ac:dyDescent="0.4">
      <c r="A9" t="s">
        <v>16</v>
      </c>
      <c r="B9" s="2">
        <v>7.8E-2</v>
      </c>
      <c r="C9" s="1">
        <v>156000</v>
      </c>
      <c r="D9" s="1">
        <f>C9*(1+$B$9)</f>
        <v>168168</v>
      </c>
      <c r="E9" s="1">
        <f>D9*(1+$B$9)</f>
        <v>181285.10400000002</v>
      </c>
      <c r="F9" s="1">
        <f>E9*(1+$B$9)</f>
        <v>195425.34211200004</v>
      </c>
      <c r="G9" s="1">
        <f>F9*(1+$B$9)</f>
        <v>210668.51879673605</v>
      </c>
      <c r="H9" s="1">
        <f>G9*(1+$B$9)</f>
        <v>227100.66326288148</v>
      </c>
    </row>
    <row r="10" spans="1:8" x14ac:dyDescent="0.4">
      <c r="A10" t="s">
        <v>17</v>
      </c>
      <c r="B10" s="2">
        <v>7.3999999999999996E-2</v>
      </c>
      <c r="C10" s="1">
        <v>74000</v>
      </c>
      <c r="D10" s="1">
        <f>C10*(1+$B$10)</f>
        <v>79476</v>
      </c>
      <c r="E10" s="1">
        <f>D10*(1+$B$10)</f>
        <v>85357.224000000002</v>
      </c>
      <c r="F10" s="1">
        <f>E10*(1+$B$10)</f>
        <v>91673.658576000002</v>
      </c>
      <c r="G10" s="1">
        <f>F10*(1+$B$10)</f>
        <v>98457.509310624009</v>
      </c>
      <c r="H10" s="1">
        <f>G10*(1+$B$10)</f>
        <v>105743.36499961019</v>
      </c>
    </row>
    <row r="11" spans="1:8" x14ac:dyDescent="0.4">
      <c r="A11" t="s">
        <v>18</v>
      </c>
      <c r="B11" s="2">
        <v>4.4999999999999998E-2</v>
      </c>
      <c r="C11" s="1">
        <v>281000</v>
      </c>
      <c r="D11" s="1">
        <f>C11*(1+$B$11)</f>
        <v>293645</v>
      </c>
      <c r="E11" s="1">
        <f>D11*(1+$B$11)</f>
        <v>306859.02499999997</v>
      </c>
      <c r="F11" s="1">
        <f>E11*(1+$B$11)</f>
        <v>320667.68112499994</v>
      </c>
      <c r="G11" s="1">
        <f>F11*(1+$B$11)</f>
        <v>335097.72677562491</v>
      </c>
      <c r="H11" s="1">
        <f>G11*(1+$B$11)</f>
        <v>350177.124480528</v>
      </c>
    </row>
    <row r="12" spans="1:8" x14ac:dyDescent="0.4">
      <c r="A12" t="s">
        <v>19</v>
      </c>
      <c r="C12" s="1">
        <f>SUM(C6:C11)</f>
        <v>1449000</v>
      </c>
      <c r="D12" s="1">
        <f>SUM(D6:D11)</f>
        <v>1502951</v>
      </c>
      <c r="E12" s="1">
        <f>SUM(E6:E11)</f>
        <v>1560612.797</v>
      </c>
      <c r="F12" s="1">
        <f>SUM(F6:F11)</f>
        <v>1622234.693405</v>
      </c>
      <c r="G12" s="1">
        <f>SUM(G6:G11)</f>
        <v>1688083.9282008894</v>
      </c>
      <c r="H12" s="1">
        <f>SUM(H6:H11)</f>
        <v>1758446.9900252395</v>
      </c>
    </row>
    <row r="14" spans="1:8" x14ac:dyDescent="0.4">
      <c r="A14" t="s">
        <v>20</v>
      </c>
      <c r="C14" s="1">
        <f>SUM(C12:H12)</f>
        <v>9581329.4086311292</v>
      </c>
    </row>
    <row r="15" spans="1:8" x14ac:dyDescent="0.4">
      <c r="A15" t="s">
        <v>21</v>
      </c>
      <c r="C15" s="1">
        <f>ROUND(C14/Assumptions!B2,0)</f>
        <v>145172</v>
      </c>
    </row>
    <row r="16" spans="1:8" x14ac:dyDescent="0.4">
      <c r="A16" t="s">
        <v>22</v>
      </c>
      <c r="C16">
        <f>ROUND(Assumptions!B3/AVERAGE(C12:H12),1)</f>
        <v>3.1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39123E-3F7B-4A20-AC6C-E673154EDC6F}">
  <dimension ref="A1:B3"/>
  <sheetViews>
    <sheetView workbookViewId="0"/>
  </sheetViews>
  <sheetFormatPr defaultRowHeight="18.75" x14ac:dyDescent="0.4"/>
  <cols>
    <col min="2" max="2" width="10.625" bestFit="1" customWidth="1"/>
  </cols>
  <sheetData>
    <row r="1" spans="1:2" x14ac:dyDescent="0.4">
      <c r="A1" t="s">
        <v>0</v>
      </c>
      <c r="B1" t="s">
        <v>1</v>
      </c>
    </row>
    <row r="2" spans="1:2" x14ac:dyDescent="0.4">
      <c r="A2" t="s">
        <v>2</v>
      </c>
      <c r="B2">
        <v>66</v>
      </c>
    </row>
    <row r="3" spans="1:2" x14ac:dyDescent="0.4">
      <c r="A3" t="s">
        <v>3</v>
      </c>
      <c r="B3" s="1">
        <v>4900000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Model</vt:lpstr>
      <vt:lpstr>Assumptions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太田　悠介</dc:creator>
  <cp:lastModifiedBy>太田　悠介</cp:lastModifiedBy>
  <dcterms:created xsi:type="dcterms:W3CDTF">2026-09-03T13:35:39Z</dcterms:created>
  <dcterms:modified xsi:type="dcterms:W3CDTF">2026-09-03T13:35:40Z</dcterms:modified>
</cp:coreProperties>
</file>