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79336F64-62E5-412B-870E-4CEAF88FBCD6}" xr6:coauthVersionLast="47" xr6:coauthVersionMax="47" xr10:uidLastSave="{00000000-0000-0000-0000-000000000000}"/>
  <bookViews>
    <workbookView xWindow="-120" yWindow="-120" windowWidth="29040" windowHeight="15720" xr2:uid="{C4B08678-4C32-4367-BC78-8C6BC4115B6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N23" i="1"/>
  <c r="M23" i="1"/>
  <c r="L23" i="1"/>
  <c r="K23" i="1"/>
  <c r="J23" i="1"/>
  <c r="I23" i="1"/>
  <c r="H23" i="1"/>
  <c r="G23" i="1"/>
  <c r="F23" i="1"/>
  <c r="E23" i="1"/>
  <c r="D23" i="1"/>
  <c r="C23" i="1"/>
  <c r="N22" i="1"/>
  <c r="M22" i="1"/>
  <c r="L22" i="1"/>
  <c r="K22" i="1"/>
  <c r="J22" i="1"/>
  <c r="I22" i="1"/>
  <c r="H22" i="1"/>
  <c r="G22" i="1"/>
  <c r="F22" i="1"/>
  <c r="E22" i="1"/>
  <c r="D22" i="1"/>
  <c r="C22" i="1"/>
  <c r="N20" i="1"/>
  <c r="M20" i="1"/>
  <c r="L20" i="1"/>
  <c r="K20" i="1"/>
  <c r="J20" i="1"/>
  <c r="I20" i="1"/>
  <c r="H20" i="1"/>
  <c r="G20" i="1"/>
  <c r="F20" i="1"/>
  <c r="E20" i="1"/>
  <c r="D20" i="1"/>
  <c r="C20" i="1"/>
  <c r="N19" i="1"/>
  <c r="M19" i="1"/>
  <c r="L19" i="1"/>
  <c r="K19" i="1"/>
  <c r="J19" i="1"/>
  <c r="I19" i="1"/>
  <c r="H19" i="1"/>
  <c r="G19" i="1"/>
  <c r="F19" i="1"/>
  <c r="E19" i="1"/>
  <c r="D19" i="1"/>
  <c r="N18" i="1"/>
  <c r="M18" i="1"/>
  <c r="L18" i="1"/>
  <c r="K18" i="1"/>
  <c r="J18" i="1"/>
  <c r="I18" i="1"/>
  <c r="H18" i="1"/>
  <c r="G18" i="1"/>
  <c r="F18" i="1"/>
  <c r="E18" i="1"/>
  <c r="D18" i="1"/>
  <c r="N17" i="1"/>
  <c r="M17" i="1"/>
  <c r="L17" i="1"/>
  <c r="K17" i="1"/>
  <c r="J17" i="1"/>
  <c r="I17" i="1"/>
  <c r="H17" i="1"/>
  <c r="G17" i="1"/>
  <c r="F17" i="1"/>
  <c r="E17" i="1"/>
  <c r="D17" i="1"/>
  <c r="N16" i="1"/>
  <c r="M16" i="1"/>
  <c r="L16" i="1"/>
  <c r="K16" i="1"/>
  <c r="J16" i="1"/>
  <c r="I16" i="1"/>
  <c r="H16" i="1"/>
  <c r="G16" i="1"/>
  <c r="F16" i="1"/>
  <c r="E16" i="1"/>
  <c r="D16" i="1"/>
  <c r="N15" i="1"/>
  <c r="M15" i="1"/>
  <c r="L15" i="1"/>
  <c r="K15" i="1"/>
  <c r="J15" i="1"/>
  <c r="I15" i="1"/>
  <c r="H15" i="1"/>
  <c r="G15" i="1"/>
  <c r="F15" i="1"/>
  <c r="E15" i="1"/>
  <c r="D15" i="1"/>
  <c r="N14" i="1"/>
  <c r="M14" i="1"/>
  <c r="L14" i="1"/>
  <c r="K14" i="1"/>
  <c r="J14" i="1"/>
  <c r="I14" i="1"/>
  <c r="H14" i="1"/>
  <c r="G14" i="1"/>
  <c r="F14" i="1"/>
  <c r="E14" i="1"/>
  <c r="D14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<sst xmlns="http://schemas.openxmlformats.org/spreadsheetml/2006/main" count="32" uniqueCount="32">
  <si>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</si>
  <si>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</si>
  <si>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</si>
  <si>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</si>
  <si>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</si>
  <si>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</si>
  <si>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</si>
  <si>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</si>
  <si>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</si>
  <si>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</si>
  <si>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</si>
  <si>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</si>
  <si>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</si>
  <si>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</si>
  <si>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</si>
  <si>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Advertising</t>
  </si>
  <si>
    <t>Agency fees</t>
  </si>
  <si>
    <t>Benefits</t>
  </si>
  <si>
    <t>Recruiting</t>
  </si>
  <si>
    <t>Software tools</t>
  </si>
  <si>
    <t>Total revenue</t>
  </si>
  <si>
    <t>COST OF SALES</t>
  </si>
  <si>
    <t>Insurance</t>
  </si>
  <si>
    <t>Services</t>
  </si>
  <si>
    <t>Contractors</t>
  </si>
  <si>
    <t>Licences</t>
  </si>
  <si>
    <t>Cloud hosting</t>
  </si>
  <si>
    <t>Support</t>
  </si>
  <si>
    <t>Total cost of sales</t>
  </si>
  <si>
    <t>Grand total</t>
  </si>
  <si>
    <t>Share of first month</t>
  </si>
  <si>
    <t>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</si>
</sst>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2AC9-33C5-465D-BC60-89140820139F}">
  <dimension ref="A1:N25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7" width="10.625" bestFit="1" customWidth="1"/>
    <col min="8" max="14" width="10.75" bestFit="1" customWidth="1"/>
  </cols>
  <sheetData>
    <row r="1" spans="1:14" x14ac:dyDescent="0.4">
      <c r="A1" t="s">
        <v>0</v>
      </c>
    </row>
    <row r="3" spans="1:14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5" spans="1:14" x14ac:dyDescent="0.4">
      <c r="A5" t="s">
        <v>14</v>
      </c>
    </row>
    <row r="6" spans="1:14" x14ac:dyDescent="0.4">
      <c r="A6" t="s">
        <v>15</v>
      </c>
      <c r="B6" s="1">
        <v>0.02</v>
      </c>
      <c r="C6" s="2">
        <v>391000</v>
      </c>
      <c r="D6" s="2">
        <f>C6*(1+$B$6)</f>
        <v>398820</v>
      </c>
      <c r="E6" s="2">
        <f>D6*(1+$B$6)</f>
        <v>406796.4</v>
      </c>
      <c r="F6" s="2">
        <f>E6*(1+$B$6)</f>
        <v>414932.32800000004</v>
      </c>
      <c r="G6" s="2">
        <f>F6*(1+$B$6)</f>
        <v>423230.97456000006</v>
      </c>
      <c r="H6" s="2">
        <f>G6*(1+$B$6)</f>
        <v>431695.59405120008</v>
      </c>
      <c r="I6" s="2">
        <f>H6*(1+$B$6)</f>
        <v>440329.5059322241</v>
      </c>
      <c r="J6" s="2">
        <f>I6*(1+$B$6)</f>
        <v>449136.09605086857</v>
      </c>
      <c r="K6" s="2">
        <f>J6*(1+$B$6)</f>
        <v>458118.81797188596</v>
      </c>
      <c r="L6" s="2">
        <f>K6*(1+$B$6)</f>
        <v>467281.19433132367</v>
      </c>
      <c r="M6" s="2">
        <f>L6*(1+$B$6)</f>
        <v>476626.81821795017</v>
      </c>
      <c r="N6" s="2">
        <f>M6*(1+$B$6)</f>
        <v>486159.3545823092</v>
      </c>
    </row>
    <row r="7" spans="1:14" x14ac:dyDescent="0.4">
      <c r="A7" t="s">
        <v>16</v>
      </c>
      <c r="B7" s="1">
        <v>5.0000000000000001E-3</v>
      </c>
      <c r="C7" s="2">
        <v>111000</v>
      </c>
      <c r="D7" s="2">
        <f>C7*(1+$B$7)</f>
        <v>111554.99999999999</v>
      </c>
      <c r="E7" s="2">
        <f>D7*(1+$B$7)</f>
        <v>112112.77499999998</v>
      </c>
      <c r="F7" s="2">
        <f>E7*(1+$B$7)</f>
        <v>112673.33887499997</v>
      </c>
      <c r="G7" s="2">
        <f>F7*(1+$B$7)</f>
        <v>113236.70556937496</v>
      </c>
      <c r="H7" s="2">
        <f>G7*(1+$B$7)</f>
        <v>113802.88909722182</v>
      </c>
      <c r="I7" s="2">
        <f>H7*(1+$B$7)</f>
        <v>114371.90354270792</v>
      </c>
      <c r="J7" s="2">
        <f>I7*(1+$B$7)</f>
        <v>114943.76306042145</v>
      </c>
      <c r="K7" s="2">
        <f>J7*(1+$B$7)</f>
        <v>115518.48187572355</v>
      </c>
      <c r="L7" s="2">
        <f>K7*(1+$B$7)</f>
        <v>116096.07428510215</v>
      </c>
      <c r="M7" s="2">
        <f>L7*(1+$B$7)</f>
        <v>116676.55465652765</v>
      </c>
      <c r="N7" s="2">
        <f>M7*(1+$B$7)</f>
        <v>117259.93742981028</v>
      </c>
    </row>
    <row r="8" spans="1:14" x14ac:dyDescent="0.4">
      <c r="A8" t="s">
        <v>17</v>
      </c>
      <c r="B8" s="1">
        <v>1.7999999999999999E-2</v>
      </c>
      <c r="C8" s="2">
        <v>139000</v>
      </c>
      <c r="D8" s="2">
        <f>C8*(1+$B$8)</f>
        <v>141502</v>
      </c>
      <c r="E8" s="2">
        <f>D8*(1+$B$8)</f>
        <v>144049.03599999999</v>
      </c>
      <c r="F8" s="2">
        <f>E8*(1+$B$8)</f>
        <v>146641.91864799999</v>
      </c>
      <c r="G8" s="2">
        <f>F8*(1+$B$8)</f>
        <v>149281.473183664</v>
      </c>
      <c r="H8" s="2">
        <f>G8*(1+$B$8)</f>
        <v>151968.53970096997</v>
      </c>
      <c r="I8" s="2">
        <f>H8*(1+$B$8)</f>
        <v>154703.97341558742</v>
      </c>
      <c r="J8" s="2">
        <f>I8*(1+$B$8)</f>
        <v>157488.64493706799</v>
      </c>
      <c r="K8" s="2">
        <f>J8*(1+$B$8)</f>
        <v>160323.44054593521</v>
      </c>
      <c r="L8" s="2">
        <f>K8*(1+$B$8)</f>
        <v>163209.26247576205</v>
      </c>
      <c r="M8" s="2">
        <f>L8*(1+$B$8)</f>
        <v>166147.02920032578</v>
      </c>
      <c r="N8" s="2">
        <f>M8*(1+$B$8)</f>
        <v>169137.67572593165</v>
      </c>
    </row>
    <row r="9" spans="1:14" x14ac:dyDescent="0.4">
      <c r="A9" t="s">
        <v>18</v>
      </c>
      <c r="B9" s="1">
        <v>8.6999999999999994E-2</v>
      </c>
      <c r="C9" s="2">
        <v>149000</v>
      </c>
      <c r="D9" s="2">
        <f>C9*(1+$B$9)</f>
        <v>161963</v>
      </c>
      <c r="E9" s="2">
        <f>D9*(1+$B$9)</f>
        <v>176053.78099999999</v>
      </c>
      <c r="F9" s="2">
        <f>E9*(1+$B$9)</f>
        <v>191370.45994699997</v>
      </c>
      <c r="G9" s="2">
        <f>F9*(1+$B$9)</f>
        <v>208019.68996238895</v>
      </c>
      <c r="H9" s="2">
        <f>G9*(1+$B$9)</f>
        <v>226117.40298911679</v>
      </c>
      <c r="I9" s="2">
        <f>H9*(1+$B$9)</f>
        <v>245789.61704916993</v>
      </c>
      <c r="J9" s="2">
        <f>I9*(1+$B$9)</f>
        <v>267173.31373244768</v>
      </c>
      <c r="K9" s="2">
        <f>J9*(1+$B$9)</f>
        <v>290417.39202717063</v>
      </c>
      <c r="L9" s="2">
        <f>K9*(1+$B$9)</f>
        <v>315683.70513353444</v>
      </c>
      <c r="M9" s="2">
        <f>L9*(1+$B$9)</f>
        <v>343148.18748015194</v>
      </c>
      <c r="N9" s="2">
        <f>M9*(1+$B$9)</f>
        <v>373002.07979092514</v>
      </c>
    </row>
    <row r="10" spans="1:14" x14ac:dyDescent="0.4">
      <c r="A10" t="s">
        <v>19</v>
      </c>
      <c r="B10" s="1">
        <v>-1.7999999999999999E-2</v>
      </c>
      <c r="C10" s="2">
        <v>100000</v>
      </c>
      <c r="D10" s="2">
        <f>C10*(1+$B$10)</f>
        <v>98200</v>
      </c>
      <c r="E10" s="2">
        <f>D10*(1+$B$10)</f>
        <v>96432.4</v>
      </c>
      <c r="F10" s="2">
        <f>E10*(1+$B$10)</f>
        <v>94696.616799999989</v>
      </c>
      <c r="G10" s="2">
        <f>F10*(1+$B$10)</f>
        <v>92992.077697599991</v>
      </c>
      <c r="H10" s="2">
        <f>G10*(1+$B$10)</f>
        <v>91318.220299043183</v>
      </c>
      <c r="I10" s="2">
        <f>H10*(1+$B$10)</f>
        <v>89674.492333660412</v>
      </c>
      <c r="J10" s="2">
        <f>I10*(1+$B$10)</f>
        <v>88060.351471654518</v>
      </c>
      <c r="K10" s="2">
        <f>J10*(1+$B$10)</f>
        <v>86475.26514516474</v>
      </c>
      <c r="L10" s="2">
        <f>K10*(1+$B$10)</f>
        <v>84918.710372551766</v>
      </c>
      <c r="M10" s="2">
        <f>L10*(1+$B$10)</f>
        <v>83390.173585845827</v>
      </c>
      <c r="N10" s="2">
        <f>M10*(1+$B$10)</f>
        <v>81889.150461300596</v>
      </c>
    </row>
    <row r="11" spans="1:14" x14ac:dyDescent="0.4">
      <c r="A11" t="s">
        <v>20</v>
      </c>
      <c r="C11" s="2">
        <f>SUM(C6:C10)</f>
        <v>890000</v>
      </c>
      <c r="D11" s="2">
        <f>SUM(D6:D10)</f>
        <v>912040</v>
      </c>
      <c r="E11" s="2">
        <f>SUM(E6:E10)</f>
        <v>935444.39199999999</v>
      </c>
      <c r="F11" s="2">
        <f>SUM(F6:F10)</f>
        <v>960314.66226999997</v>
      </c>
      <c r="G11" s="2">
        <f>SUM(G6:G10)</f>
        <v>986760.92097302806</v>
      </c>
      <c r="H11" s="2">
        <f>SUM(H6:H10)</f>
        <v>1014902.6461375519</v>
      </c>
      <c r="I11" s="2">
        <f>SUM(I6:I10)</f>
        <v>1044869.4922733498</v>
      </c>
      <c r="J11" s="2">
        <f>SUM(J6:J10)</f>
        <v>1076802.1692524601</v>
      </c>
      <c r="K11" s="2">
        <f>SUM(K6:K10)</f>
        <v>1110853.3975658801</v>
      </c>
      <c r="L11" s="2">
        <f>SUM(L6:L10)</f>
        <v>1147188.9465982742</v>
      </c>
      <c r="M11" s="2">
        <f>SUM(M6:M10)</f>
        <v>1185988.7631408013</v>
      </c>
      <c r="N11" s="2">
        <f>SUM(N6:N10)</f>
        <v>1227448.1979902766</v>
      </c>
    </row>
    <row r="13" spans="1:14" x14ac:dyDescent="0.4">
      <c r="A13" t="s">
        <v>21</v>
      </c>
    </row>
    <row r="14" spans="1:14" x14ac:dyDescent="0.4">
      <c r="A14" t="s">
        <v>22</v>
      </c>
      <c r="B14" s="1">
        <v>4.2999999999999997E-2</v>
      </c>
      <c r="C14" s="2">
        <v>220000</v>
      </c>
      <c r="D14" s="2">
        <f>C14*(1+$B$14)</f>
        <v>229459.99999999997</v>
      </c>
      <c r="E14" s="2">
        <f>D14*(1+$B$14)</f>
        <v>239326.77999999994</v>
      </c>
      <c r="F14" s="2">
        <f>E14*(1+$B$14)</f>
        <v>249617.83153999993</v>
      </c>
      <c r="G14" s="2">
        <f>F14*(1+$B$14)</f>
        <v>260351.39829621991</v>
      </c>
      <c r="H14" s="2">
        <f>G14*(1+$B$14)</f>
        <v>271546.50842295733</v>
      </c>
      <c r="I14" s="2">
        <f>H14*(1+$B$14)</f>
        <v>283223.00828514446</v>
      </c>
      <c r="J14" s="2">
        <f>I14*(1+$B$14)</f>
        <v>295401.59764140565</v>
      </c>
      <c r="K14" s="2">
        <f>J14*(1+$B$14)</f>
        <v>308103.8663399861</v>
      </c>
      <c r="L14" s="2">
        <f>K14*(1+$B$14)</f>
        <v>321352.3325926055</v>
      </c>
      <c r="M14" s="2">
        <f>L14*(1+$B$14)</f>
        <v>335170.4828940875</v>
      </c>
      <c r="N14" s="2">
        <f>M14*(1+$B$14)</f>
        <v>349582.81365853321</v>
      </c>
    </row>
    <row r="15" spans="1:14" x14ac:dyDescent="0.4">
      <c r="A15" t="s">
        <v>23</v>
      </c>
      <c r="B15" s="1">
        <v>5.6000000000000001E-2</v>
      </c>
      <c r="C15" s="2">
        <v>75000</v>
      </c>
      <c r="D15" s="2">
        <f>C15*(1+$B$15)</f>
        <v>79200</v>
      </c>
      <c r="E15" s="2">
        <f>D15*(1+$B$15)</f>
        <v>83635.199999999997</v>
      </c>
      <c r="F15" s="2">
        <f>E15*(1+$B$15)</f>
        <v>88318.771200000003</v>
      </c>
      <c r="G15" s="2">
        <f>F15*(1+$B$15)</f>
        <v>93264.622387200012</v>
      </c>
      <c r="H15" s="2">
        <f>G15*(1+$B$15)</f>
        <v>98487.441240883214</v>
      </c>
      <c r="I15" s="2">
        <f>H15*(1+$B$15)</f>
        <v>104002.73795037268</v>
      </c>
      <c r="J15" s="2">
        <f>I15*(1+$B$15)</f>
        <v>109826.89127559356</v>
      </c>
      <c r="K15" s="2">
        <f>J15*(1+$B$15)</f>
        <v>115977.1971870268</v>
      </c>
      <c r="L15" s="2">
        <f>K15*(1+$B$15)</f>
        <v>122471.92022950031</v>
      </c>
      <c r="M15" s="2">
        <f>L15*(1+$B$15)</f>
        <v>129330.34776235232</v>
      </c>
      <c r="N15" s="2">
        <f>M15*(1+$B$15)</f>
        <v>136572.84723704407</v>
      </c>
    </row>
    <row r="16" spans="1:14" x14ac:dyDescent="0.4">
      <c r="A16" t="s">
        <v>24</v>
      </c>
      <c r="B16" s="1">
        <v>5.2999999999999999E-2</v>
      </c>
      <c r="C16" s="2">
        <v>358000</v>
      </c>
      <c r="D16" s="2">
        <f>C16*(1+$B$16)</f>
        <v>376974</v>
      </c>
      <c r="E16" s="2">
        <f>D16*(1+$B$16)</f>
        <v>396953.62199999997</v>
      </c>
      <c r="F16" s="2">
        <f>E16*(1+$B$16)</f>
        <v>417992.16396599996</v>
      </c>
      <c r="G16" s="2">
        <f>F16*(1+$B$16)</f>
        <v>440145.74865619792</v>
      </c>
      <c r="H16" s="2">
        <f>G16*(1+$B$16)</f>
        <v>463473.47333497636</v>
      </c>
      <c r="I16" s="2">
        <f>H16*(1+$B$16)</f>
        <v>488037.56742173008</v>
      </c>
      <c r="J16" s="2">
        <f>I16*(1+$B$16)</f>
        <v>513903.55849508173</v>
      </c>
      <c r="K16" s="2">
        <f>J16*(1+$B$16)</f>
        <v>541140.44709532103</v>
      </c>
      <c r="L16" s="2">
        <f>K16*(1+$B$16)</f>
        <v>569820.89079137298</v>
      </c>
      <c r="M16" s="2">
        <f>L16*(1+$B$16)</f>
        <v>600021.39800331567</v>
      </c>
      <c r="N16" s="2">
        <f>M16*(1+$B$16)</f>
        <v>631822.53209749132</v>
      </c>
    </row>
    <row r="17" spans="1:14" x14ac:dyDescent="0.4">
      <c r="A17" t="s">
        <v>25</v>
      </c>
      <c r="B17" s="1">
        <v>3.6999999999999998E-2</v>
      </c>
      <c r="C17" s="2">
        <v>40000</v>
      </c>
      <c r="D17" s="2">
        <f>C17*(1+$B$17)</f>
        <v>41480</v>
      </c>
      <c r="E17" s="2">
        <f>D17*(1+$B$17)</f>
        <v>43014.759999999995</v>
      </c>
      <c r="F17" s="2">
        <f>E17*(1+$B$17)</f>
        <v>44606.306119999994</v>
      </c>
      <c r="G17" s="2">
        <f>F17*(1+$B$17)</f>
        <v>46256.739446439991</v>
      </c>
      <c r="H17" s="2">
        <f>G17*(1+$B$17)</f>
        <v>47968.238805958266</v>
      </c>
      <c r="I17" s="2">
        <f>H17*(1+$B$17)</f>
        <v>49743.063641778717</v>
      </c>
      <c r="J17" s="2">
        <f>I17*(1+$B$17)</f>
        <v>51583.556996524523</v>
      </c>
      <c r="K17" s="2">
        <f>J17*(1+$B$17)</f>
        <v>53492.148605395923</v>
      </c>
      <c r="L17" s="2">
        <f>K17*(1+$B$17)</f>
        <v>55471.358103795566</v>
      </c>
      <c r="M17" s="2">
        <f>L17*(1+$B$17)</f>
        <v>57523.798353635997</v>
      </c>
      <c r="N17" s="2">
        <f>M17*(1+$B$17)</f>
        <v>59652.178892720527</v>
      </c>
    </row>
    <row r="18" spans="1:14" x14ac:dyDescent="0.4">
      <c r="A18" t="s">
        <v>26</v>
      </c>
      <c r="B18" s="1">
        <v>2.3E-2</v>
      </c>
      <c r="C18" s="2">
        <v>270000</v>
      </c>
      <c r="D18" s="2">
        <f>C18*(1+$B$18)</f>
        <v>276210</v>
      </c>
      <c r="E18" s="2">
        <f>D18*(1+$B$18)</f>
        <v>282562.82999999996</v>
      </c>
      <c r="F18" s="2">
        <f>E18*(1+$B$18)</f>
        <v>289061.77508999995</v>
      </c>
      <c r="G18" s="2">
        <f>F18*(1+$B$18)</f>
        <v>295710.19591706991</v>
      </c>
      <c r="H18" s="2">
        <f>G18*(1+$B$18)</f>
        <v>302511.53042316251</v>
      </c>
      <c r="I18" s="2">
        <f>H18*(1+$B$18)</f>
        <v>309469.29562289524</v>
      </c>
      <c r="J18" s="2">
        <f>I18*(1+$B$18)</f>
        <v>316587.08942222182</v>
      </c>
      <c r="K18" s="2">
        <f>J18*(1+$B$18)</f>
        <v>323868.59247893287</v>
      </c>
      <c r="L18" s="2">
        <f>K18*(1+$B$18)</f>
        <v>331317.57010594831</v>
      </c>
      <c r="M18" s="2">
        <f>L18*(1+$B$18)</f>
        <v>338937.87421838508</v>
      </c>
      <c r="N18" s="2">
        <f>M18*(1+$B$18)</f>
        <v>346733.4453254079</v>
      </c>
    </row>
    <row r="19" spans="1:14" x14ac:dyDescent="0.4">
      <c r="A19" t="s">
        <v>27</v>
      </c>
      <c r="B19" s="1">
        <v>2.1000000000000001E-2</v>
      </c>
      <c r="C19" s="2">
        <v>307000</v>
      </c>
      <c r="D19" s="2">
        <f>C19*(1+$B$19)</f>
        <v>313447</v>
      </c>
      <c r="E19" s="2">
        <f>D19*(1+$B$19)</f>
        <v>320029.38699999999</v>
      </c>
      <c r="F19" s="2">
        <f>E19*(1+$B$19)</f>
        <v>326750.00412699993</v>
      </c>
      <c r="G19" s="2">
        <f>F19*(1+$B$19)</f>
        <v>333611.75421366689</v>
      </c>
      <c r="H19" s="2">
        <f>G19*(1+$B$19)</f>
        <v>340617.60105215386</v>
      </c>
      <c r="I19" s="2">
        <f>H19*(1+$B$19)</f>
        <v>347770.57067424903</v>
      </c>
      <c r="J19" s="2">
        <f>I19*(1+$B$19)</f>
        <v>355073.75265840825</v>
      </c>
      <c r="K19" s="2">
        <f>J19*(1+$B$19)</f>
        <v>362530.30146423477</v>
      </c>
      <c r="L19" s="2">
        <f>K19*(1+$B$19)</f>
        <v>370143.43779498368</v>
      </c>
      <c r="M19" s="2">
        <f>L19*(1+$B$19)</f>
        <v>377916.44998867827</v>
      </c>
      <c r="N19" s="2">
        <f>M19*(1+$B$19)</f>
        <v>385852.69543844048</v>
      </c>
    </row>
    <row r="20" spans="1:14" x14ac:dyDescent="0.4">
      <c r="A20" t="s">
        <v>28</v>
      </c>
      <c r="C20" s="2">
        <f>SUM(C14:C19)</f>
        <v>1270000</v>
      </c>
      <c r="D20" s="2">
        <f>SUM(D14:D19)</f>
        <v>1316771</v>
      </c>
      <c r="E20" s="2">
        <f>SUM(E14:E19)</f>
        <v>1365522.5789999999</v>
      </c>
      <c r="F20" s="2">
        <f>SUM(F14:F19)</f>
        <v>1416346.8520429998</v>
      </c>
      <c r="G20" s="2">
        <f>SUM(G14:G19)</f>
        <v>1469340.4589167945</v>
      </c>
      <c r="H20" s="2">
        <f>SUM(H14:H19)</f>
        <v>1524604.7932800916</v>
      </c>
      <c r="I20" s="2">
        <f>SUM(I14:I19)</f>
        <v>1582246.2435961701</v>
      </c>
      <c r="J20" s="2">
        <f>SUM(J14:J19)</f>
        <v>1642376.4464892354</v>
      </c>
      <c r="K20" s="2">
        <f>SUM(K14:K19)</f>
        <v>1705112.5531708975</v>
      </c>
      <c r="L20" s="2">
        <f>SUM(L14:L19)</f>
        <v>1770577.5096182062</v>
      </c>
      <c r="M20" s="2">
        <f>SUM(M14:M19)</f>
        <v>1838900.3512204548</v>
      </c>
      <c r="N20" s="2">
        <f>SUM(N14:N19)</f>
        <v>1910216.5126496374</v>
      </c>
    </row>
    <row r="22" spans="1:14" x14ac:dyDescent="0.4">
      <c r="A22" t="s">
        <v>29</v>
      </c>
      <c r="C22" s="2">
        <f>SUM(C11,C20)</f>
        <v>2160000</v>
      </c>
      <c r="D22" s="2">
        <f>SUM(D11,D20)</f>
        <v>2228811</v>
      </c>
      <c r="E22" s="2">
        <f>SUM(E11,E20)</f>
        <v>2300966.9709999999</v>
      </c>
      <c r="F22" s="2">
        <f>SUM(F11,F20)</f>
        <v>2376661.5143129998</v>
      </c>
      <c r="G22" s="2">
        <f>SUM(G11,G20)</f>
        <v>2456101.3798898226</v>
      </c>
      <c r="H22" s="2">
        <f>SUM(H11,H20)</f>
        <v>2539507.4394176435</v>
      </c>
      <c r="I22" s="2">
        <f>SUM(I11,I20)</f>
        <v>2627115.7358695199</v>
      </c>
      <c r="J22" s="2">
        <f>SUM(J11,J20)</f>
        <v>2719178.6157416953</v>
      </c>
      <c r="K22" s="2">
        <f>SUM(K11,K20)</f>
        <v>2815965.9507367779</v>
      </c>
      <c r="L22" s="2">
        <f>SUM(L11,L20)</f>
        <v>2917766.4562164806</v>
      </c>
      <c r="M22" s="2">
        <f>SUM(M11,M20)</f>
        <v>3024889.1143612564</v>
      </c>
      <c r="N22" s="2">
        <f>SUM(N11,N20)</f>
        <v>3137664.710639914</v>
      </c>
    </row>
    <row r="23" spans="1:14" x14ac:dyDescent="0.4">
      <c r="A23" t="s">
        <v>30</v>
      </c>
      <c r="C23" s="1">
        <f>C22/$C$22</f>
        <v>1</v>
      </c>
      <c r="D23" s="1">
        <f>D22/$C$22</f>
        <v>1.0318569444444445</v>
      </c>
      <c r="E23" s="1">
        <f>E22/$C$22</f>
        <v>1.0652624865740741</v>
      </c>
      <c r="F23" s="1">
        <f>F22/$C$22</f>
        <v>1.1003062566263888</v>
      </c>
      <c r="G23" s="1">
        <f>G22/$C$22</f>
        <v>1.137083972171214</v>
      </c>
      <c r="H23" s="1">
        <f>H22/$C$22</f>
        <v>1.1756978886192795</v>
      </c>
      <c r="I23" s="1">
        <f>I22/$C$22</f>
        <v>1.2162572851247777</v>
      </c>
      <c r="J23" s="1">
        <f>J22/$C$22</f>
        <v>1.2588789887693033</v>
      </c>
      <c r="K23" s="1">
        <f>K22/$C$22</f>
        <v>1.3036879401559156</v>
      </c>
      <c r="L23" s="1">
        <f>L22/$C$22</f>
        <v>1.3508178038039262</v>
      </c>
      <c r="M23" s="1">
        <f>M22/$C$22</f>
        <v>1.4004116270191003</v>
      </c>
      <c r="N23" s="1">
        <f>N22/$C$22</f>
        <v>1.4526225512221824</v>
      </c>
    </row>
    <row r="25" spans="1:14" x14ac:dyDescent="0.4">
      <c r="A25" t="s">
        <v>31</v>
      </c>
      <c r="C25" s="2">
        <f>SUM(C22:N22)</f>
        <v>31304628.888186105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2026-09-03T13:35:47Z</dcterms:created>
  <dcterms:modified xsi:type="dcterms:W3CDTF">2026-09-03T13:35:51Z</dcterms:modified>
</cp:coreProperties>
</file>