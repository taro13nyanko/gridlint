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8FAB6F8A-7D2E-42EC-B413-9AE8E69BA512}" xr6:coauthVersionLast="47" xr6:coauthVersionMax="47" xr10:uidLastSave="{00000000-0000-0000-0000-000000000000}"/>
  <bookViews>
    <workbookView xWindow="-120" yWindow="-120" windowWidth="29040" windowHeight="15720" xr2:uid="{A34F9A35-7514-45C6-958E-B0176A6D5B44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8" i="2" l="1"/>
  <c r="C27" i="2"/>
  <c r="C26" i="2"/>
  <c r="H24" i="2"/>
  <c r="G24" i="2"/>
  <c r="F24" i="2"/>
  <c r="E24" i="2"/>
  <c r="D24" i="2"/>
  <c r="C24" i="2"/>
  <c r="H22" i="2"/>
  <c r="G22" i="2"/>
  <c r="F22" i="2"/>
  <c r="E22" i="2"/>
  <c r="D22" i="2"/>
  <c r="C22" i="2"/>
  <c r="H21" i="2"/>
  <c r="G21" i="2"/>
  <c r="F21" i="2"/>
  <c r="E21" i="2"/>
  <c r="D21" i="2"/>
  <c r="H20" i="2"/>
  <c r="G20" i="2"/>
  <c r="F20" i="2"/>
  <c r="E20" i="2"/>
  <c r="D20" i="2"/>
  <c r="H19" i="2"/>
  <c r="G19" i="2"/>
  <c r="F19" i="2"/>
  <c r="E19" i="2"/>
  <c r="D19" i="2"/>
  <c r="H16" i="2"/>
  <c r="G16" i="2"/>
  <c r="F16" i="2"/>
  <c r="E16" i="2"/>
  <c r="D16" i="2"/>
  <c r="C16" i="2"/>
  <c r="H15" i="2"/>
  <c r="G15" i="2"/>
  <c r="F15" i="2"/>
  <c r="E15" i="2"/>
  <c r="D15" i="2"/>
  <c r="H14" i="2"/>
  <c r="G14" i="2"/>
  <c r="F14" i="2"/>
  <c r="E14" i="2"/>
  <c r="D14" i="2"/>
  <c r="H13" i="2"/>
  <c r="G13" i="2"/>
  <c r="F13" i="2"/>
  <c r="E13" i="2"/>
  <c r="D13" i="2"/>
  <c r="H12" i="2"/>
  <c r="G12" i="2"/>
  <c r="F12" i="2"/>
  <c r="E12" i="2"/>
  <c r="D12" i="2"/>
  <c r="H9" i="2"/>
  <c r="G9" i="2"/>
  <c r="F9" i="2"/>
  <c r="E9" i="2"/>
  <c r="D9" i="2"/>
  <c r="C9" i="2"/>
  <c r="H8" i="2"/>
  <c r="G8" i="2"/>
  <c r="F8" i="2"/>
  <c r="E8" i="2"/>
  <c r="D8" i="2"/>
  <c r="H7" i="2"/>
  <c r="G7" i="2"/>
  <c r="F7" i="2"/>
  <c r="E7" i="2"/>
  <c r="D7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<sst xmlns="http://schemas.openxmlformats.org/spreadsheetml/2006/main" count="32" uniqueCount="32">
  <si>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</si>
  <si>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</si>
  <si>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</si>
  <si>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</si>
  <si>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</si>
  <si>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</si>
  <si>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</si>
  <si>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</si>
  <si>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</si>
  <si>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</si>
  <si>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</si>
  <si>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</si>
  <si>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</si>
  <si>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Content</t>
  </si>
  <si>
    <t>Software tools</t>
  </si>
  <si>
    <t>Subscriptions</t>
  </si>
  <si>
    <t>Total revenue</t>
  </si>
  <si>
    <t>COST OF SALES</t>
  </si>
  <si>
    <t>Contractors</t>
  </si>
  <si>
    <t>Licences</t>
  </si>
  <si>
    <t>Cloud hosting</t>
  </si>
  <si>
    <t>Travel</t>
  </si>
  <si>
    <t>Total cost of sales</t>
  </si>
  <si>
    <t>OPERATING COSTS</t>
  </si>
  <si>
    <t>Data vendors</t>
  </si>
  <si>
    <t>Office rent</t>
  </si>
  <si>
    <t>Sponsorships</t>
  </si>
  <si>
    <t>Total operating costs</t>
  </si>
  <si>
    <t>Grand total</t>
  </si>
  <si>
    <t>Full year</t>
  </si>
  <si>
    <t>Per head</t>
  </si>
  <si>
    <t>Months of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</si>
</sst>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839CB-74BD-492B-B3BC-2DC7C18254BA}">
  <dimension ref="A1:H28"/>
  <sheetViews>
    <sheetView tabSelected="1" workbookViewId="0"/>
  </sheetViews>
  <sheetFormatPr defaultRowHeight="18.75" x14ac:dyDescent="0.4"/>
  <cols>
    <col min="1" max="1" width="28.625" customWidth="1"/>
    <col min="3" max="3" width="11.75" bestFit="1" customWidth="1"/>
    <col min="4" max="8" width="10.625" bestFit="1" customWidth="1"/>
  </cols>
  <sheetData>
    <row r="1" spans="1:8" x14ac:dyDescent="0.4">
      <c r="A1" t="s">
        <v>4</v>
      </c>
    </row>
    <row r="3" spans="1:8" x14ac:dyDescent="0.4"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</row>
    <row r="5" spans="1:8" x14ac:dyDescent="0.4">
      <c r="A5" t="s">
        <v>12</v>
      </c>
    </row>
    <row r="6" spans="1:8" x14ac:dyDescent="0.4">
      <c r="A6" t="s">
        <v>13</v>
      </c>
      <c r="B6" s="2">
        <v>-1E-3</v>
      </c>
      <c r="C6" s="1">
        <v>310000</v>
      </c>
      <c r="D6" s="1">
        <f>C6*(1+$B$6)</f>
        <v>309690</v>
      </c>
      <c r="E6" s="1">
        <f>D6*(1+$B$6)</f>
        <v>309380.31</v>
      </c>
      <c r="F6" s="1">
        <f>E6*(1+$B$6)</f>
        <v>309070.92969000002</v>
      </c>
      <c r="G6" s="1">
        <f>F6*(1+$B$6)</f>
        <v>308761.85876031005</v>
      </c>
      <c r="H6" s="1">
        <f>G6*(1+$B$6)</f>
        <v>308453.09690154972</v>
      </c>
    </row>
    <row r="7" spans="1:8" x14ac:dyDescent="0.4">
      <c r="A7" t="s">
        <v>14</v>
      </c>
      <c r="B7" s="2">
        <v>5.0000000000000001E-3</v>
      </c>
      <c r="C7" s="1">
        <v>222000</v>
      </c>
      <c r="D7" s="1">
        <f>C7*(1+$B$7)</f>
        <v>223109.99999999997</v>
      </c>
      <c r="E7" s="1">
        <f>D7*(1+$B$7)</f>
        <v>224225.54999999996</v>
      </c>
      <c r="F7" s="1">
        <f>E7*(1+$B$7)</f>
        <v>225346.67774999994</v>
      </c>
      <c r="G7" s="1">
        <f>F7*(1+$B$7)</f>
        <v>226473.41113874991</v>
      </c>
      <c r="H7" s="1">
        <f>G7*(1+$B$7)</f>
        <v>227605.77819444364</v>
      </c>
    </row>
    <row r="8" spans="1:8" x14ac:dyDescent="0.4">
      <c r="A8" t="s">
        <v>15</v>
      </c>
      <c r="B8" s="2">
        <v>-1.7000000000000001E-2</v>
      </c>
      <c r="C8" s="1">
        <v>278000</v>
      </c>
      <c r="D8" s="1">
        <f>C8*(1+$B$8)</f>
        <v>273274</v>
      </c>
      <c r="E8" s="1">
        <f>D8*(1+$B$8)</f>
        <v>268628.342</v>
      </c>
      <c r="F8" s="1">
        <f>E8*(1+$B$8)</f>
        <v>264061.66018599999</v>
      </c>
      <c r="G8" s="1">
        <f>F8*(1+$B$8)</f>
        <v>259572.61196283798</v>
      </c>
      <c r="H8" s="1">
        <f>G8*(1+$B$8)</f>
        <v>255159.87755946972</v>
      </c>
    </row>
    <row r="9" spans="1:8" x14ac:dyDescent="0.4">
      <c r="A9" t="s">
        <v>16</v>
      </c>
      <c r="C9" s="1">
        <f>SUM(C6:C8)</f>
        <v>810000</v>
      </c>
      <c r="D9" s="1">
        <f>SUM(D6:D8)</f>
        <v>806074</v>
      </c>
      <c r="E9" s="1">
        <f>SUM(E6:E8)</f>
        <v>802234.20200000005</v>
      </c>
      <c r="F9" s="1">
        <f>SUM(F6:F8)</f>
        <v>798479.26762599987</v>
      </c>
      <c r="G9" s="1">
        <f>SUM(G6:G8)</f>
        <v>794807.881861898</v>
      </c>
      <c r="H9" s="1">
        <f>SUM(H6:H8)</f>
        <v>791218.75265546306</v>
      </c>
    </row>
    <row r="11" spans="1:8" x14ac:dyDescent="0.4">
      <c r="A11" t="s">
        <v>17</v>
      </c>
    </row>
    <row r="12" spans="1:8" x14ac:dyDescent="0.4">
      <c r="A12" t="s">
        <v>18</v>
      </c>
      <c r="B12" s="2">
        <v>1.9E-2</v>
      </c>
      <c r="C12" s="1">
        <v>13000</v>
      </c>
      <c r="D12" s="1">
        <f>C12*(1+$B$12)</f>
        <v>13246.999999999998</v>
      </c>
      <c r="E12" s="1">
        <f>D12*(1+$B$12)</f>
        <v>13498.692999999997</v>
      </c>
      <c r="F12" s="1">
        <f>E12*(1+$B$12)</f>
        <v>13755.168166999996</v>
      </c>
      <c r="G12" s="1">
        <f>F12*(1+$B$12)</f>
        <v>14016.516362172995</v>
      </c>
      <c r="H12" s="1">
        <f>G12*(1+$B$12)</f>
        <v>14282.830173054281</v>
      </c>
    </row>
    <row r="13" spans="1:8" x14ac:dyDescent="0.4">
      <c r="A13" t="s">
        <v>19</v>
      </c>
      <c r="B13" s="2">
        <v>1.2E-2</v>
      </c>
      <c r="C13" s="1">
        <v>223000</v>
      </c>
      <c r="D13" s="1">
        <f>C13*(1+$B$13)</f>
        <v>225676</v>
      </c>
      <c r="E13" s="1">
        <f>D13*(1+$B$13)</f>
        <v>228384.11199999999</v>
      </c>
      <c r="F13" s="1">
        <f>E13*(1+$B$13)</f>
        <v>231124.72134399999</v>
      </c>
      <c r="G13" s="1">
        <f>F13*(1+$B$13)</f>
        <v>233898.21800012799</v>
      </c>
      <c r="H13" s="1">
        <f>G13*(1+$B$13)</f>
        <v>236704.99661612953</v>
      </c>
    </row>
    <row r="14" spans="1:8" x14ac:dyDescent="0.4">
      <c r="A14" t="s">
        <v>20</v>
      </c>
      <c r="B14" s="2">
        <v>2.3E-2</v>
      </c>
      <c r="C14" s="1">
        <v>95000</v>
      </c>
      <c r="D14" s="1">
        <f>C14*(1+$B$14)</f>
        <v>97184.999999999985</v>
      </c>
      <c r="E14" s="1">
        <f>D14*(1+$B$14)</f>
        <v>99420.254999999976</v>
      </c>
      <c r="F14" s="1">
        <f>E14*(1+$B$14)</f>
        <v>101706.92086499996</v>
      </c>
      <c r="G14" s="1">
        <f>F14*(1+$B$14)</f>
        <v>104046.18004489495</v>
      </c>
      <c r="H14" s="1">
        <f>G14*(1+$B$14)</f>
        <v>106439.24218592752</v>
      </c>
    </row>
    <row r="15" spans="1:8" x14ac:dyDescent="0.4">
      <c r="A15" t="s">
        <v>21</v>
      </c>
      <c r="B15" s="2">
        <v>8.1000000000000003E-2</v>
      </c>
      <c r="C15" s="1">
        <v>382000</v>
      </c>
      <c r="D15" s="1">
        <f>C15*(1+$B$15)</f>
        <v>412942</v>
      </c>
      <c r="E15" s="1">
        <f>D15*(1+$B$15)</f>
        <v>446390.30199999997</v>
      </c>
      <c r="F15" s="1">
        <f>E15*(1+$B$15)</f>
        <v>482547.91646199994</v>
      </c>
      <c r="G15" s="1">
        <f>F15*(1+$B$15)</f>
        <v>521634.2976954219</v>
      </c>
      <c r="H15" s="1">
        <f>G15*(1+$B$15)</f>
        <v>563886.67580875102</v>
      </c>
    </row>
    <row r="16" spans="1:8" x14ac:dyDescent="0.4">
      <c r="A16" t="s">
        <v>22</v>
      </c>
      <c r="C16" s="1">
        <f>SUM(C12:C15)</f>
        <v>713000</v>
      </c>
      <c r="D16" s="1">
        <f>SUM(D12:D15)</f>
        <v>749050</v>
      </c>
      <c r="E16" s="1">
        <f>SUM(E12:E15)</f>
        <v>787693.36199999996</v>
      </c>
      <c r="F16" s="1">
        <f>SUM(F12:F15)</f>
        <v>829134.72683799989</v>
      </c>
      <c r="G16" s="1">
        <f>SUM(G12:G15)</f>
        <v>873595.21210261784</v>
      </c>
      <c r="H16" s="1">
        <f>SUM(H12:H15)</f>
        <v>921313.74478386238</v>
      </c>
    </row>
    <row r="18" spans="1:8" x14ac:dyDescent="0.4">
      <c r="A18" t="s">
        <v>23</v>
      </c>
    </row>
    <row r="19" spans="1:8" x14ac:dyDescent="0.4">
      <c r="A19" t="s">
        <v>24</v>
      </c>
      <c r="B19" s="2">
        <v>6.6000000000000003E-2</v>
      </c>
      <c r="C19" s="1">
        <v>270000</v>
      </c>
      <c r="D19" s="1">
        <f>C19*(1+$B$19)</f>
        <v>287820</v>
      </c>
      <c r="E19" s="1">
        <f>D19*(1+$B$19)</f>
        <v>306816.12</v>
      </c>
      <c r="F19" s="1">
        <f>E19*(1+$B$19)</f>
        <v>327065.98392000003</v>
      </c>
      <c r="G19" s="1">
        <f>F19*(1+$B$19)</f>
        <v>348652.33885872003</v>
      </c>
      <c r="H19" s="1">
        <f>G19*(1+$B$19)</f>
        <v>371663.39322339557</v>
      </c>
    </row>
    <row r="20" spans="1:8" x14ac:dyDescent="0.4">
      <c r="A20" t="s">
        <v>25</v>
      </c>
      <c r="B20" s="2">
        <v>2.7E-2</v>
      </c>
      <c r="C20" s="1">
        <v>66000</v>
      </c>
      <c r="D20" s="1">
        <f>C20*(1+$B$20)</f>
        <v>67782</v>
      </c>
      <c r="E20" s="1">
        <f>D20*(1+$B$20)</f>
        <v>69612.113999999987</v>
      </c>
      <c r="F20" s="1">
        <f>E20*(1+$B$20)</f>
        <v>71491.641077999986</v>
      </c>
      <c r="G20" s="1">
        <f>F20*(1+$B$20)</f>
        <v>73421.915387105983</v>
      </c>
      <c r="H20" s="1">
        <f>G20*(1+$B$20)</f>
        <v>75404.307102557839</v>
      </c>
    </row>
    <row r="21" spans="1:8" x14ac:dyDescent="0.4">
      <c r="A21" t="s">
        <v>26</v>
      </c>
      <c r="B21" s="2">
        <v>7.2999999999999995E-2</v>
      </c>
      <c r="C21" s="1">
        <v>245000</v>
      </c>
      <c r="D21" s="1">
        <f>C21*(1+$B$21)</f>
        <v>262885</v>
      </c>
      <c r="E21" s="1">
        <f>D21*(1+$B$21)</f>
        <v>282075.60499999998</v>
      </c>
      <c r="F21" s="1">
        <f>E21*(1+$B$21)</f>
        <v>302667.12416499999</v>
      </c>
      <c r="G21" s="1">
        <f>F21*(1+$B$21)</f>
        <v>324761.82422904496</v>
      </c>
      <c r="H21" s="1">
        <f>G21*(1+$B$21)</f>
        <v>348469.43739776523</v>
      </c>
    </row>
    <row r="22" spans="1:8" x14ac:dyDescent="0.4">
      <c r="A22" t="s">
        <v>27</v>
      </c>
      <c r="C22" s="1">
        <f>SUM(C19:C21)</f>
        <v>581000</v>
      </c>
      <c r="D22" s="1">
        <f>SUM(D19:D21)</f>
        <v>618487</v>
      </c>
      <c r="E22" s="1">
        <f>SUM(E19:E21)</f>
        <v>658503.83899999992</v>
      </c>
      <c r="F22" s="1">
        <f>SUM(F19:F21)</f>
        <v>701224.74916299991</v>
      </c>
      <c r="G22" s="1">
        <f>SUM(G19:G21)</f>
        <v>746836.078474871</v>
      </c>
      <c r="H22" s="1">
        <f>SUM(H19:H21)</f>
        <v>795537.13772371865</v>
      </c>
    </row>
    <row r="24" spans="1:8" x14ac:dyDescent="0.4">
      <c r="A24" t="s">
        <v>28</v>
      </c>
      <c r="C24" s="1">
        <f>SUM(C9,C16,C22)</f>
        <v>2104000</v>
      </c>
      <c r="D24" s="1">
        <f>SUM(D9,D16,D22)</f>
        <v>2173611</v>
      </c>
      <c r="E24" s="1">
        <f>SUM(E9,E16,E22)</f>
        <v>2248431.4029999999</v>
      </c>
      <c r="F24" s="1">
        <f>SUM(F9,F16,F22)</f>
        <v>2328838.7436269997</v>
      </c>
      <c r="G24" s="1">
        <f>SUM(G9,G16,G22)</f>
        <v>2415239.1724393866</v>
      </c>
      <c r="H24" s="1">
        <f>SUM(H9,H16,H22)</f>
        <v>2508069.6351630441</v>
      </c>
    </row>
    <row r="26" spans="1:8" x14ac:dyDescent="0.4">
      <c r="A26" t="s">
        <v>29</v>
      </c>
      <c r="C26" s="1">
        <f>SUM(C24:H24)</f>
        <v>13778189.954229431</v>
      </c>
    </row>
    <row r="27" spans="1:8" x14ac:dyDescent="0.4">
      <c r="A27" t="s">
        <v>30</v>
      </c>
      <c r="C27" s="1">
        <f>ROUND(C26/Assumptions!B2,0)</f>
        <v>115783</v>
      </c>
    </row>
    <row r="28" spans="1:8" x14ac:dyDescent="0.4">
      <c r="A28" t="s">
        <v>31</v>
      </c>
      <c r="C28">
        <f>ROUND(Assumptions!B3/AVERAGE(C24:H24),1)</f>
        <v>1.6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D1915-CDC8-4DC3-AA2E-B89A2B65C63C}">
  <dimension ref="A1:B3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119</v>
      </c>
    </row>
    <row r="3" spans="1:2" x14ac:dyDescent="0.4">
      <c r="A3" t="s">
        <v>3</v>
      </c>
      <c r="B3" s="1">
        <v>3600000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2026-09-03T08:10:55Z</dcterms:created>
  <dcterms:modified xsi:type="dcterms:W3CDTF">2026-09-03T08:10:58Z</dcterms:modified>
</cp:coreProperties>
</file>