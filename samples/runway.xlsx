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yank\AppData\Local\Temp\claude\c--Users-nyank-Desktop------claude\c5b7c0f3-08aa-40b3-9a42-36a150658d76\scratchpad\spike\"/>
    </mc:Choice>
  </mc:AlternateContent>
  <xr:revisionPtr revIDLastSave="0" documentId="8_{C7053D19-B2F3-4680-821E-0B8357FAFE87}" xr6:coauthVersionLast="47" xr6:coauthVersionMax="47" xr10:uidLastSave="{00000000-0000-0000-0000-000000000000}"/>
  <bookViews>
    <workbookView xWindow="-120" yWindow="-120" windowWidth="29040" windowHeight="15720" xr2:uid="{0A077E7A-9B87-40FD-A789-D5305B3F73FD}"/>
  </bookViews>
  <sheets>
    <sheet name="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2" i="1" l="1"/>
  <c r="C31" i="1"/>
  <c r="C30" i="1"/>
  <c r="C29" i="1"/>
  <c r="C28" i="1"/>
  <c r="C27" i="1"/>
  <c r="C26" i="1"/>
  <c r="C25" i="1"/>
  <c r="C24" i="1"/>
  <c r="C22" i="1"/>
  <c r="C21" i="1"/>
  <c r="H18" i="1"/>
  <c r="G18" i="1"/>
  <c r="F18" i="1"/>
  <c r="E18" i="1"/>
  <c r="D18" i="1"/>
  <c r="C18" i="1"/>
  <c r="H16" i="1"/>
  <c r="G16" i="1"/>
  <c r="F16" i="1"/>
  <c r="E16" i="1"/>
  <c r="D16" i="1"/>
  <c r="C16" i="1"/>
  <c r="H15" i="1"/>
  <c r="G15" i="1"/>
  <c r="F15" i="1"/>
  <c r="E15" i="1"/>
  <c r="D15" i="1"/>
  <c r="H14" i="1"/>
  <c r="G14" i="1"/>
  <c r="F14" i="1"/>
  <c r="E14" i="1"/>
  <c r="D14" i="1"/>
  <c r="H13" i="1"/>
  <c r="G13" i="1"/>
  <c r="F13" i="1"/>
  <c r="E13" i="1"/>
  <c r="D13" i="1"/>
  <c r="H12" i="1"/>
  <c r="G12" i="1"/>
  <c r="F12" i="1"/>
  <c r="E12" i="1"/>
  <c r="D12" i="1"/>
  <c r="H11" i="1"/>
  <c r="G11" i="1"/>
  <c r="F11" i="1"/>
  <c r="E11" i="1"/>
  <c r="D11" i="1"/>
  <c r="H8" i="1"/>
  <c r="G8" i="1"/>
  <c r="F8" i="1"/>
  <c r="E8" i="1"/>
  <c r="D8" i="1"/>
  <c r="C8" i="1"/>
  <c r="H7" i="1"/>
  <c r="G7" i="1"/>
  <c r="F7" i="1"/>
  <c r="E7" i="1"/>
  <c r="D7" i="1"/>
  <c r="H6" i="1"/>
  <c r="G6" i="1"/>
  <c r="F6" i="1"/>
  <c r="E6" i="1"/>
  <c r="D6" i="1"/>
  <c r="H5" i="1"/>
  <c r="G5" i="1"/>
  <c r="F5" i="1"/>
  <c r="E5" i="1"/>
  <c r="D5" i="1"/>
</calcChain>
</file>

<file path=xl/sharedStrings.xml><?xml version="1.0" encoding="utf-8"?>
<sst xmlns="http://schemas.openxmlformats.org/spreadsheetml/2006/main" count="34" uniqueCount="34">
  <si>
    <t>FY26 Operating Model</t>
  </si>
  <si>
    <t>Growth</t>
  </si>
  <si>
    <t>Jan</t>
  </si>
  <si>
    <t>Feb</t>
  </si>
  <si>
    <t>Mar</t>
  </si>
  <si>
    <t>Apr</t>
  </si>
  <si>
    <t>May</t>
  </si>
  <si>
    <t>Jun</t>
  </si>
  <si>
    <t>REVENUE</t>
  </si>
  <si>
    <t>Subscription revenue</t>
  </si>
  <si>
    <t>Services revenue</t>
  </si>
  <si>
    <t>Other income</t>
  </si>
  <si>
    <t>Total revenue</t>
  </si>
  <si>
    <t>COSTS</t>
  </si>
  <si>
    <t>Salaries</t>
  </si>
  <si>
    <t>Cloud &amp; infra</t>
  </si>
  <si>
    <t>Marketing</t>
  </si>
  <si>
    <t>Office &amp; misc</t>
  </si>
  <si>
    <t>Contractors</t>
  </si>
  <si>
    <t>Total costs</t>
  </si>
  <si>
    <t>Net burn</t>
  </si>
  <si>
    <t>Cash on hand</t>
  </si>
  <si>
    <t>Avg monthly burn</t>
  </si>
  <si>
    <t>Runway (months)</t>
  </si>
  <si>
    <t>Headcount</t>
  </si>
  <si>
    <t>Cost per head</t>
  </si>
  <si>
    <t>Gross margin</t>
  </si>
  <si>
    <t>Max month cost</t>
  </si>
  <si>
    <t>Min month cost</t>
  </si>
  <si>
    <t>Cost lines</t>
  </si>
  <si>
    <t>Big months</t>
  </si>
  <si>
    <t>Marketing sum</t>
  </si>
  <si>
    <t>Pct of revenue</t>
  </si>
  <si>
    <t>Abs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</si>
</sst>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24AC2-D46C-46C1-80E7-D49820C70713}">
  <dimension ref="A1:H32"/>
  <sheetViews>
    <sheetView tabSelected="1" workbookViewId="0"/>
  </sheetViews>
  <sheetFormatPr defaultRowHeight="18.75" x14ac:dyDescent="0.4"/>
  <sheetData>
    <row r="1" spans="1:8" x14ac:dyDescent="0.4">
      <c r="A1" t="s">
        <v>0</v>
      </c>
    </row>
    <row r="3" spans="1:8" x14ac:dyDescent="0.4"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</row>
    <row r="4" spans="1:8" x14ac:dyDescent="0.4">
      <c r="A4" t="s">
        <v>8</v>
      </c>
    </row>
    <row r="5" spans="1:8" x14ac:dyDescent="0.4">
      <c r="A5" t="s">
        <v>9</v>
      </c>
      <c r="B5">
        <v>0.08</v>
      </c>
      <c r="C5">
        <v>4200000</v>
      </c>
      <c r="D5">
        <f>C5*(1+$B$5)</f>
        <v>4536000</v>
      </c>
      <c r="E5">
        <f>D5*(1+$B$5)</f>
        <v>4898880</v>
      </c>
      <c r="F5">
        <f>E5*(1+$B$5)</f>
        <v>5290790.4000000004</v>
      </c>
      <c r="G5">
        <f>F5*(1+$B$5)</f>
        <v>5714053.6320000011</v>
      </c>
      <c r="H5">
        <f>G5*(1+$B$5)</f>
        <v>6171177.9225600017</v>
      </c>
    </row>
    <row r="6" spans="1:8" x14ac:dyDescent="0.4">
      <c r="A6" t="s">
        <v>10</v>
      </c>
      <c r="B6">
        <v>0.03</v>
      </c>
      <c r="C6">
        <v>900000</v>
      </c>
      <c r="D6">
        <f>C6*(1+$B$6)</f>
        <v>927000</v>
      </c>
      <c r="E6">
        <f>D6*(1+$B$6)</f>
        <v>954810</v>
      </c>
      <c r="F6">
        <f>E6*(1+$B$6)</f>
        <v>983454.3</v>
      </c>
      <c r="G6">
        <f>F6*(1+$B$6)</f>
        <v>1012957.9290000001</v>
      </c>
      <c r="H6">
        <f>G6*(1+$B$6)</f>
        <v>1043346.6668700002</v>
      </c>
    </row>
    <row r="7" spans="1:8" x14ac:dyDescent="0.4">
      <c r="A7" t="s">
        <v>11</v>
      </c>
      <c r="B7">
        <v>0</v>
      </c>
      <c r="C7">
        <v>120000</v>
      </c>
      <c r="D7">
        <f>C7*(1+$B$7)</f>
        <v>120000</v>
      </c>
      <c r="E7">
        <f>D7*(1+$B$7)</f>
        <v>120000</v>
      </c>
      <c r="F7">
        <f>E7*(1+$B$7)</f>
        <v>120000</v>
      </c>
      <c r="G7">
        <f>F7*(1+$B$7)</f>
        <v>120000</v>
      </c>
      <c r="H7">
        <f>G7*(1+$B$7)</f>
        <v>120000</v>
      </c>
    </row>
    <row r="8" spans="1:8" x14ac:dyDescent="0.4">
      <c r="A8" t="s">
        <v>12</v>
      </c>
      <c r="C8">
        <f>SUM(C5:C7)</f>
        <v>5220000</v>
      </c>
      <c r="D8">
        <f>SUM(D5:D7)</f>
        <v>5583000</v>
      </c>
      <c r="E8">
        <f>SUM(E5:E7)</f>
        <v>5973690</v>
      </c>
      <c r="F8">
        <f>SUM(F5:F7)</f>
        <v>6394244.7000000002</v>
      </c>
      <c r="G8">
        <f>SUM(G5:G7)</f>
        <v>6847011.5610000016</v>
      </c>
      <c r="H8">
        <f>SUM(H5:H7)</f>
        <v>7334524.5894300016</v>
      </c>
    </row>
    <row r="10" spans="1:8" x14ac:dyDescent="0.4">
      <c r="A10" t="s">
        <v>13</v>
      </c>
    </row>
    <row r="11" spans="1:8" x14ac:dyDescent="0.4">
      <c r="A11" t="s">
        <v>14</v>
      </c>
      <c r="B11">
        <v>0.02</v>
      </c>
      <c r="C11">
        <v>3100000</v>
      </c>
      <c r="D11">
        <f>C11*(1+$B$11)</f>
        <v>3162000</v>
      </c>
      <c r="E11">
        <f>D11*(1+$B$11)</f>
        <v>3225240</v>
      </c>
      <c r="F11">
        <f>E11*(1+$B$11)</f>
        <v>3289744.8000000003</v>
      </c>
      <c r="G11">
        <f>F11*(1+$B$11)</f>
        <v>3355539.6960000005</v>
      </c>
      <c r="H11">
        <f>G11*(1+$B$11)</f>
        <v>3422650.4899200005</v>
      </c>
    </row>
    <row r="12" spans="1:8" x14ac:dyDescent="0.4">
      <c r="A12" t="s">
        <v>15</v>
      </c>
      <c r="B12">
        <v>0.06</v>
      </c>
      <c r="C12">
        <v>640000</v>
      </c>
      <c r="D12">
        <f>C12*(1+$B$12)</f>
        <v>678400</v>
      </c>
      <c r="E12">
        <f>D12*(1+$B$12)</f>
        <v>719104</v>
      </c>
      <c r="F12">
        <f>E12*(1+$B$12)</f>
        <v>762250.23999999999</v>
      </c>
      <c r="G12">
        <f>F12*(1+$B$12)</f>
        <v>807985.25439999998</v>
      </c>
      <c r="H12">
        <f>G12*(1+$B$12)</f>
        <v>856464.369664</v>
      </c>
    </row>
    <row r="13" spans="1:8" x14ac:dyDescent="0.4">
      <c r="A13" t="s">
        <v>16</v>
      </c>
      <c r="B13">
        <v>0.1</v>
      </c>
      <c r="C13">
        <v>810000</v>
      </c>
      <c r="D13">
        <f>C13*(1+$B$13)</f>
        <v>891000.00000000012</v>
      </c>
      <c r="E13">
        <f>D13*(1+$B$13)</f>
        <v>980100.00000000023</v>
      </c>
      <c r="F13">
        <f>E13*(1+$B$13)</f>
        <v>1078110.0000000002</v>
      </c>
      <c r="G13">
        <f>F13*(1+$B$13)</f>
        <v>1185921.0000000005</v>
      </c>
      <c r="H13">
        <f>G13*(1+$B$13)</f>
        <v>1304513.1000000006</v>
      </c>
    </row>
    <row r="14" spans="1:8" x14ac:dyDescent="0.4">
      <c r="A14" t="s">
        <v>17</v>
      </c>
      <c r="B14">
        <v>0.01</v>
      </c>
      <c r="C14">
        <v>230000</v>
      </c>
      <c r="D14">
        <f>C14*(1+$B$14)</f>
        <v>232300</v>
      </c>
      <c r="E14">
        <f>D14*(1+$B$14)</f>
        <v>234623</v>
      </c>
      <c r="F14">
        <f>E14*(1+$B$14)</f>
        <v>236969.23</v>
      </c>
      <c r="G14">
        <f>F14*(1+$B$14)</f>
        <v>239338.92230000001</v>
      </c>
      <c r="H14">
        <f>G14*(1+$B$14)</f>
        <v>241732.31152300001</v>
      </c>
    </row>
    <row r="15" spans="1:8" x14ac:dyDescent="0.4">
      <c r="A15" t="s">
        <v>18</v>
      </c>
      <c r="B15">
        <v>0.04</v>
      </c>
      <c r="C15">
        <v>375000</v>
      </c>
      <c r="D15">
        <f>C15*(1+$B$15)</f>
        <v>390000</v>
      </c>
      <c r="E15">
        <f>D15*(1+$B$15)</f>
        <v>405600</v>
      </c>
      <c r="F15">
        <f>E15*(1+$B$15)</f>
        <v>421824</v>
      </c>
      <c r="G15">
        <f>F15*(1+$B$15)</f>
        <v>438696.96000000002</v>
      </c>
      <c r="H15">
        <f>G15*(1+$B$15)</f>
        <v>456244.83840000007</v>
      </c>
    </row>
    <row r="16" spans="1:8" x14ac:dyDescent="0.4">
      <c r="A16" t="s">
        <v>19</v>
      </c>
      <c r="C16">
        <f>SUM(C11:C14)</f>
        <v>4780000</v>
      </c>
      <c r="D16">
        <f>SUM(D11:D14)</f>
        <v>4963700</v>
      </c>
      <c r="E16">
        <f>SUM(E11:E14)</f>
        <v>5159067</v>
      </c>
      <c r="F16">
        <f>SUM(F11:F14)</f>
        <v>5367074.2700000005</v>
      </c>
      <c r="G16">
        <f>SUM(G11:G14)</f>
        <v>5588784.8727000002</v>
      </c>
      <c r="H16">
        <f>SUM(H11:H14)</f>
        <v>5825360.2711070012</v>
      </c>
    </row>
    <row r="18" spans="1:8" x14ac:dyDescent="0.4">
      <c r="A18" t="s">
        <v>20</v>
      </c>
      <c r="C18">
        <f>C16-C8</f>
        <v>-440000</v>
      </c>
      <c r="D18">
        <f>D16-D8</f>
        <v>-619300</v>
      </c>
      <c r="E18">
        <f>E16-E8</f>
        <v>-814623</v>
      </c>
      <c r="F18">
        <f>F16-F8</f>
        <v>-1027170.4299999997</v>
      </c>
      <c r="G18">
        <f>G16-G8</f>
        <v>-1258226.6883000014</v>
      </c>
      <c r="H18">
        <f>H16-H8</f>
        <v>-1509164.3183230003</v>
      </c>
    </row>
    <row r="20" spans="1:8" x14ac:dyDescent="0.4">
      <c r="A20" t="s">
        <v>21</v>
      </c>
      <c r="C20">
        <v>48000000</v>
      </c>
    </row>
    <row r="21" spans="1:8" x14ac:dyDescent="0.4">
      <c r="A21" t="s">
        <v>22</v>
      </c>
      <c r="C21">
        <f>AVERAGE(C18:H18)</f>
        <v>-944747.40610383358</v>
      </c>
    </row>
    <row r="22" spans="1:8" x14ac:dyDescent="0.4">
      <c r="A22" t="s">
        <v>23</v>
      </c>
      <c r="C22" t="str">
        <f>IF(C21&gt;0,ROUND(C20/C21,1),"n/a")</f>
        <v>n/a</v>
      </c>
    </row>
    <row r="23" spans="1:8" x14ac:dyDescent="0.4">
      <c r="A23" t="s">
        <v>24</v>
      </c>
      <c r="C23">
        <v>34</v>
      </c>
    </row>
    <row r="24" spans="1:8" x14ac:dyDescent="0.4">
      <c r="A24" t="s">
        <v>25</v>
      </c>
      <c r="C24">
        <f>IFERROR(C16/C23,0)</f>
        <v>140588.23529411765</v>
      </c>
    </row>
    <row r="25" spans="1:8" x14ac:dyDescent="0.4">
      <c r="A25" t="s">
        <v>26</v>
      </c>
      <c r="C25">
        <f>(C8-C16)/C8</f>
        <v>8.4291187739463605E-2</v>
      </c>
    </row>
    <row r="26" spans="1:8" x14ac:dyDescent="0.4">
      <c r="A26" t="s">
        <v>27</v>
      </c>
      <c r="C26">
        <f>MAX(C16:H16)</f>
        <v>5825360.2711070012</v>
      </c>
    </row>
    <row r="27" spans="1:8" x14ac:dyDescent="0.4">
      <c r="A27" t="s">
        <v>28</v>
      </c>
      <c r="C27">
        <f>MIN(C16:H16)</f>
        <v>4780000</v>
      </c>
    </row>
    <row r="28" spans="1:8" x14ac:dyDescent="0.4">
      <c r="A28" t="s">
        <v>29</v>
      </c>
      <c r="C28">
        <f>COUNT(C11:C15)</f>
        <v>5</v>
      </c>
    </row>
    <row r="29" spans="1:8" x14ac:dyDescent="0.4">
      <c r="A29" t="s">
        <v>30</v>
      </c>
      <c r="C29">
        <f>COUNTIF(C16:H16,"&gt;5000000")</f>
        <v>4</v>
      </c>
    </row>
    <row r="30" spans="1:8" x14ac:dyDescent="0.4">
      <c r="A30" t="s">
        <v>31</v>
      </c>
      <c r="C30">
        <f>SUMIF(A11:A15,"Marketing",C11:C15)</f>
        <v>810000</v>
      </c>
    </row>
    <row r="31" spans="1:8" x14ac:dyDescent="0.4">
      <c r="A31" t="s">
        <v>32</v>
      </c>
      <c r="C31" t="str">
        <f>ROUND(C16/C8*100,2)&amp;"%"</f>
        <v>91.57%</v>
      </c>
    </row>
    <row r="32" spans="1:8" x14ac:dyDescent="0.4">
      <c r="A32" t="s">
        <v>33</v>
      </c>
      <c r="C32">
        <f>ABS(C18)</f>
        <v>440000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太田　悠介</dc:creator>
  <cp:lastModifiedBy>太田　悠介</cp:lastModifiedBy>
  <dcterms:created xsi:type="dcterms:W3CDTF">2026-09-03T07:08:07Z</dcterms:created>
  <dcterms:modified xsi:type="dcterms:W3CDTF">2026-09-03T07:08:19Z</dcterms:modified>
</cp:coreProperties>
</file>