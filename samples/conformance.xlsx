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samples\"/>
    </mc:Choice>
  </mc:AlternateContent>
  <xr:revisionPtr revIDLastSave="0" documentId="8_{6FAA89C4-8A33-446D-AF7C-231B8157C201}" xr6:coauthVersionLast="47" xr6:coauthVersionMax="47" xr10:uidLastSave="{00000000-0000-0000-0000-000000000000}"/>
  <bookViews>
    <workbookView xWindow="-120" yWindow="-120" windowWidth="29040" windowHeight="15720" xr2:uid="{123645F8-76AB-4974-974A-34148C5324E1}"/>
  </bookViews>
  <sheets>
    <sheet name="Calc" sheetId="3" r:id="rId1"/>
    <sheet name="Data" sheetId="2" r:id="rId2"/>
    <sheet name="Odd Shee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94" i="3" l="1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<sst xmlns="http://schemas.openxmlformats.org/spreadsheetml/2006/main" count="117" uniqueCount="110">
  <si>
    <t>text</t>
  </si>
  <si>
    <t>x</t>
  </si>
  <si>
    <t>North</t>
  </si>
  <si>
    <t>South</t>
  </si>
  <si>
    <t>East</t>
  </si>
  <si>
    <t>West</t>
  </si>
  <si>
    <t>a</t>
  </si>
  <si>
    <t>b</t>
  </si>
  <si>
    <t>c</t>
  </si>
  <si>
    <t>d</t>
  </si>
  <si>
    <t>e</t>
  </si>
  <si>
    <t>tiny</t>
  </si>
  <si>
    <t>small</t>
  </si>
  <si>
    <t>mid</t>
  </si>
  <si>
    <t>large</t>
  </si>
  <si>
    <t>huge</t>
  </si>
  <si>
    <t>case</t>
  </si>
  <si>
    <t>formula</t>
  </si>
  <si>
    <t>unary minus binds tighter than ^</t>
  </si>
  <si>
    <t>caret is left associative</t>
  </si>
  <si>
    <t>percent postfix</t>
  </si>
  <si>
    <t>percent on parenthesis</t>
  </si>
  <si>
    <t>mixed precedence</t>
  </si>
  <si>
    <t>comparison yields boolean</t>
  </si>
  <si>
    <t>comparison chain via AND</t>
  </si>
  <si>
    <t>negative exponent</t>
  </si>
  <si>
    <t>nested parens</t>
  </si>
  <si>
    <t>unary minus twice</t>
  </si>
  <si>
    <t>text number adds</t>
  </si>
  <si>
    <t>bool adds as one</t>
  </si>
  <si>
    <t>blank cell adds as zero</t>
  </si>
  <si>
    <t>blank cell concatenates as empty</t>
  </si>
  <si>
    <t>number to text general format</t>
  </si>
  <si>
    <t>big number to text</t>
  </si>
  <si>
    <t>text compare is case insensitive</t>
  </si>
  <si>
    <t>text sorts after numbers</t>
  </si>
  <si>
    <t>true sorts after text</t>
  </si>
  <si>
    <t>divide by zero</t>
  </si>
  <si>
    <t>iferror catches div0</t>
  </si>
  <si>
    <t>iferror passes through</t>
  </si>
  <si>
    <t>error propagates through sum</t>
  </si>
  <si>
    <t>iserror true</t>
  </si>
  <si>
    <t>iserror false</t>
  </si>
  <si>
    <t>value error from text</t>
  </si>
  <si>
    <t>if short circuits error branch</t>
  </si>
  <si>
    <t>na literal</t>
  </si>
  <si>
    <t>round half away from zero</t>
  </si>
  <si>
    <t>round half away negative</t>
  </si>
  <si>
    <t>round 2.5 is 3 not 2</t>
  </si>
  <si>
    <t>round to two places</t>
  </si>
  <si>
    <t>round negative digits</t>
  </si>
  <si>
    <t>roundup</t>
  </si>
  <si>
    <t>rounddown</t>
  </si>
  <si>
    <t>int floors negatives</t>
  </si>
  <si>
    <t>abs</t>
  </si>
  <si>
    <t>sqrt</t>
  </si>
  <si>
    <t>power</t>
  </si>
  <si>
    <t>sum range</t>
  </si>
  <si>
    <t>sum ignores text in range</t>
  </si>
  <si>
    <t>sum coerces direct text arg</t>
  </si>
  <si>
    <t>average range</t>
  </si>
  <si>
    <t>average ignores text</t>
  </si>
  <si>
    <t>min range</t>
  </si>
  <si>
    <t>max range</t>
  </si>
  <si>
    <t>count numbers only</t>
  </si>
  <si>
    <t>counta non empty</t>
  </si>
  <si>
    <t>countblank</t>
  </si>
  <si>
    <t>product</t>
  </si>
  <si>
    <t>sum of empty range is zero</t>
  </si>
  <si>
    <t>nested aggregate</t>
  </si>
  <si>
    <t>sum with mixed args</t>
  </si>
  <si>
    <t>countif greater</t>
  </si>
  <si>
    <t>countif equal number</t>
  </si>
  <si>
    <t>countif text</t>
  </si>
  <si>
    <t>countif not equal</t>
  </si>
  <si>
    <t>countif wildcard</t>
  </si>
  <si>
    <t>sumif text criteria</t>
  </si>
  <si>
    <t>sumif numeric criteria</t>
  </si>
  <si>
    <t>sumif separate range</t>
  </si>
  <si>
    <t>averageif</t>
  </si>
  <si>
    <t>if true branch</t>
  </si>
  <si>
    <t>if false branch</t>
  </si>
  <si>
    <t>nested if</t>
  </si>
  <si>
    <t>and or not</t>
  </si>
  <si>
    <t>if returns number</t>
  </si>
  <si>
    <t>isblank on empty</t>
  </si>
  <si>
    <t>isnumber</t>
  </si>
  <si>
    <t>istext</t>
  </si>
  <si>
    <t>concat operator</t>
  </si>
  <si>
    <t>concatenate function</t>
  </si>
  <si>
    <t>len</t>
  </si>
  <si>
    <t>left</t>
  </si>
  <si>
    <t>right</t>
  </si>
  <si>
    <t>trim</t>
  </si>
  <si>
    <t>upper lower</t>
  </si>
  <si>
    <t>value of text</t>
  </si>
  <si>
    <t>text two decimals</t>
  </si>
  <si>
    <t>text percent</t>
  </si>
  <si>
    <t>number joined to text</t>
  </si>
  <si>
    <t>vlookup exact</t>
  </si>
  <si>
    <t>vlookup approximate</t>
  </si>
  <si>
    <t>match exact</t>
  </si>
  <si>
    <t>index row</t>
  </si>
  <si>
    <t>index match</t>
  </si>
  <si>
    <t>absolute ref</t>
  </si>
  <si>
    <t>mixed ref</t>
  </si>
  <si>
    <t>cross sheet ref</t>
  </si>
  <si>
    <t>cross sheet range</t>
  </si>
  <si>
    <t>quoted sheet name</t>
  </si>
  <si>
    <t>chain of refs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</si>
</sst>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E248-6B24-4BEB-B79F-67375165B773}">
  <dimension ref="A1:L94"/>
  <sheetViews>
    <sheetView tabSelected="1" workbookViewId="0"/>
  </sheetViews>
  <sheetFormatPr defaultRowHeight="18.75" x14ac:dyDescent="0.4"/>
  <sheetData>
    <row r="1" spans="1:12" x14ac:dyDescent="0.4">
      <c r="A1" t="s">
        <v>16</v>
      </c>
      <c r="B1" t="s">
        <v>17</v>
      </c>
    </row>
    <row r="2" spans="1:12" x14ac:dyDescent="0.4">
      <c r="A2" t="s">
        <v>18</v>
      </c>
      <c r="B2">
        <f>-2^2</f>
        <v>4</v>
      </c>
      <c r="D2" t="s">
        <v>2</v>
      </c>
      <c r="E2">
        <v>120</v>
      </c>
      <c r="F2">
        <v>1</v>
      </c>
      <c r="H2" t="s">
        <v>6</v>
      </c>
      <c r="I2">
        <v>10</v>
      </c>
      <c r="K2">
        <v>0</v>
      </c>
      <c r="L2" t="s">
        <v>11</v>
      </c>
    </row>
    <row r="3" spans="1:12" x14ac:dyDescent="0.4">
      <c r="A3" t="s">
        <v>19</v>
      </c>
      <c r="B3">
        <f>2^3^2</f>
        <v>64</v>
      </c>
      <c r="D3" t="s">
        <v>3</v>
      </c>
      <c r="E3">
        <v>40</v>
      </c>
      <c r="F3" t="s">
        <v>0</v>
      </c>
      <c r="H3" t="s">
        <v>7</v>
      </c>
      <c r="I3">
        <v>20</v>
      </c>
      <c r="K3">
        <v>10</v>
      </c>
      <c r="L3" t="s">
        <v>12</v>
      </c>
    </row>
    <row r="4" spans="1:12" x14ac:dyDescent="0.4">
      <c r="A4" t="s">
        <v>20</v>
      </c>
      <c r="B4">
        <f>50%*40</f>
        <v>20</v>
      </c>
      <c r="D4" t="s">
        <v>2</v>
      </c>
      <c r="E4">
        <v>75</v>
      </c>
      <c r="F4">
        <v>3</v>
      </c>
      <c r="H4" t="s">
        <v>8</v>
      </c>
      <c r="I4">
        <v>30</v>
      </c>
      <c r="K4">
        <v>30</v>
      </c>
      <c r="L4" t="s">
        <v>13</v>
      </c>
    </row>
    <row r="5" spans="1:12" x14ac:dyDescent="0.4">
      <c r="A5" t="s">
        <v>21</v>
      </c>
      <c r="B5">
        <f>(10+10)%</f>
        <v>0.2</v>
      </c>
      <c r="D5" t="s">
        <v>4</v>
      </c>
      <c r="E5">
        <v>10</v>
      </c>
      <c r="H5" t="s">
        <v>9</v>
      </c>
      <c r="I5">
        <v>40</v>
      </c>
      <c r="K5">
        <v>60</v>
      </c>
      <c r="L5" t="s">
        <v>14</v>
      </c>
    </row>
    <row r="6" spans="1:12" x14ac:dyDescent="0.4">
      <c r="A6" t="s">
        <v>22</v>
      </c>
      <c r="B6">
        <f>2+3*4-6/3</f>
        <v>12</v>
      </c>
      <c r="D6" t="s">
        <v>3</v>
      </c>
      <c r="E6">
        <v>55</v>
      </c>
      <c r="F6">
        <v>5</v>
      </c>
      <c r="H6" t="s">
        <v>10</v>
      </c>
      <c r="I6">
        <v>50</v>
      </c>
      <c r="K6">
        <v>100</v>
      </c>
      <c r="L6" t="s">
        <v>15</v>
      </c>
    </row>
    <row r="7" spans="1:12" x14ac:dyDescent="0.4">
      <c r="A7" t="s">
        <v>23</v>
      </c>
      <c r="B7" t="b">
        <f>3&gt;2</f>
        <v>1</v>
      </c>
      <c r="D7" t="s">
        <v>2</v>
      </c>
      <c r="E7">
        <v>90</v>
      </c>
      <c r="F7" t="s">
        <v>1</v>
      </c>
    </row>
    <row r="8" spans="1:12" x14ac:dyDescent="0.4">
      <c r="A8" t="s">
        <v>24</v>
      </c>
      <c r="B8" t="b">
        <f>AND(3&gt;2,2&gt;1)</f>
        <v>1</v>
      </c>
      <c r="D8" t="s">
        <v>5</v>
      </c>
      <c r="E8">
        <v>5</v>
      </c>
      <c r="F8">
        <v>7</v>
      </c>
    </row>
    <row r="9" spans="1:12" x14ac:dyDescent="0.4">
      <c r="A9" t="s">
        <v>25</v>
      </c>
      <c r="B9">
        <f>2^-2</f>
        <v>0.25</v>
      </c>
      <c r="D9" t="s">
        <v>3</v>
      </c>
      <c r="E9">
        <v>65</v>
      </c>
    </row>
    <row r="10" spans="1:12" x14ac:dyDescent="0.4">
      <c r="A10" t="s">
        <v>26</v>
      </c>
      <c r="B10">
        <f>((2+3)*(4-1))/5</f>
        <v>3</v>
      </c>
      <c r="D10" t="s">
        <v>2</v>
      </c>
      <c r="E10">
        <v>30</v>
      </c>
      <c r="F10">
        <v>9</v>
      </c>
    </row>
    <row r="11" spans="1:12" x14ac:dyDescent="0.4">
      <c r="A11" t="s">
        <v>27</v>
      </c>
      <c r="B11">
        <f>--5</f>
        <v>5</v>
      </c>
      <c r="D11" t="s">
        <v>4</v>
      </c>
      <c r="E11">
        <v>20</v>
      </c>
      <c r="F11">
        <v>10</v>
      </c>
    </row>
    <row r="12" spans="1:12" x14ac:dyDescent="0.4">
      <c r="A12" t="s">
        <v>28</v>
      </c>
      <c r="B12">
        <f>"7"+1</f>
        <v>8</v>
      </c>
    </row>
    <row r="13" spans="1:12" x14ac:dyDescent="0.4">
      <c r="A13" t="s">
        <v>29</v>
      </c>
      <c r="B13">
        <f>TRUE+1</f>
        <v>2</v>
      </c>
    </row>
    <row r="14" spans="1:12" x14ac:dyDescent="0.4">
      <c r="A14" t="s">
        <v>30</v>
      </c>
      <c r="B14">
        <f>Z100+5</f>
        <v>5</v>
      </c>
    </row>
    <row r="15" spans="1:12" x14ac:dyDescent="0.4">
      <c r="A15" t="s">
        <v>31</v>
      </c>
      <c r="B15" t="str">
        <f>Z100&amp;"x"</f>
        <v>x</v>
      </c>
    </row>
    <row r="16" spans="1:12" x14ac:dyDescent="0.4">
      <c r="A16" t="s">
        <v>32</v>
      </c>
      <c r="B16" t="str">
        <f>1/4&amp;""</f>
        <v>0.25</v>
      </c>
    </row>
    <row r="17" spans="1:2" x14ac:dyDescent="0.4">
      <c r="A17" t="s">
        <v>33</v>
      </c>
      <c r="B17" t="str">
        <f>1234567&amp;""</f>
        <v>1234567</v>
      </c>
    </row>
    <row r="18" spans="1:2" x14ac:dyDescent="0.4">
      <c r="A18" t="s">
        <v>34</v>
      </c>
      <c r="B18" t="b">
        <f>"abc"="ABC"</f>
        <v>1</v>
      </c>
    </row>
    <row r="19" spans="1:2" x14ac:dyDescent="0.4">
      <c r="A19" t="s">
        <v>35</v>
      </c>
      <c r="B19" t="b">
        <f>("a"&gt;1)</f>
        <v>1</v>
      </c>
    </row>
    <row r="20" spans="1:2" x14ac:dyDescent="0.4">
      <c r="A20" t="s">
        <v>36</v>
      </c>
      <c r="B20" t="b">
        <f>(TRUE&gt;"z")</f>
        <v>1</v>
      </c>
    </row>
    <row r="21" spans="1:2" x14ac:dyDescent="0.4">
      <c r="A21" t="s">
        <v>37</v>
      </c>
      <c r="B21" t="e">
        <f>1/0</f>
        <v>#DIV/0!</v>
      </c>
    </row>
    <row r="22" spans="1:2" x14ac:dyDescent="0.4">
      <c r="A22" t="s">
        <v>38</v>
      </c>
      <c r="B22" t="str">
        <f>IFERROR(1/0,"caught")</f>
        <v>caught</v>
      </c>
    </row>
    <row r="23" spans="1:2" x14ac:dyDescent="0.4">
      <c r="A23" t="s">
        <v>39</v>
      </c>
      <c r="B23">
        <f>IFERROR(6/2,0)</f>
        <v>3</v>
      </c>
    </row>
    <row r="24" spans="1:2" x14ac:dyDescent="0.4">
      <c r="A24" t="s">
        <v>40</v>
      </c>
      <c r="B24" t="e">
        <f>SUM(1,1/0)</f>
        <v>#DIV/0!</v>
      </c>
    </row>
    <row r="25" spans="1:2" x14ac:dyDescent="0.4">
      <c r="A25" t="s">
        <v>41</v>
      </c>
      <c r="B25" t="b">
        <f>ISERROR(1/0)</f>
        <v>1</v>
      </c>
    </row>
    <row r="26" spans="1:2" x14ac:dyDescent="0.4">
      <c r="A26" t="s">
        <v>42</v>
      </c>
      <c r="B26" t="b">
        <f>ISERROR(1)</f>
        <v>0</v>
      </c>
    </row>
    <row r="27" spans="1:2" x14ac:dyDescent="0.4">
      <c r="A27" t="s">
        <v>43</v>
      </c>
      <c r="B27" t="e">
        <f>1+"abc"</f>
        <v>#VALUE!</v>
      </c>
    </row>
    <row r="28" spans="1:2" x14ac:dyDescent="0.4">
      <c r="A28" t="s">
        <v>44</v>
      </c>
      <c r="B28">
        <f>IF(TRUE,1,1/0)</f>
        <v>1</v>
      </c>
    </row>
    <row r="29" spans="1:2" x14ac:dyDescent="0.4">
      <c r="A29" t="s">
        <v>45</v>
      </c>
      <c r="B29" t="str">
        <f>IFERROR(#N/A,"na")</f>
        <v>na</v>
      </c>
    </row>
    <row r="30" spans="1:2" x14ac:dyDescent="0.4">
      <c r="A30" t="s">
        <v>46</v>
      </c>
      <c r="B30">
        <f>ROUND(0.5,0)</f>
        <v>1</v>
      </c>
    </row>
    <row r="31" spans="1:2" x14ac:dyDescent="0.4">
      <c r="A31" t="s">
        <v>47</v>
      </c>
      <c r="B31">
        <f>ROUND(-0.5,0)</f>
        <v>-1</v>
      </c>
    </row>
    <row r="32" spans="1:2" x14ac:dyDescent="0.4">
      <c r="A32" t="s">
        <v>48</v>
      </c>
      <c r="B32">
        <f>ROUND(2.5,0)</f>
        <v>3</v>
      </c>
    </row>
    <row r="33" spans="1:2" x14ac:dyDescent="0.4">
      <c r="A33" t="s">
        <v>49</v>
      </c>
      <c r="B33">
        <f>ROUND(2.675,2)</f>
        <v>2.68</v>
      </c>
    </row>
    <row r="34" spans="1:2" x14ac:dyDescent="0.4">
      <c r="A34" t="s">
        <v>50</v>
      </c>
      <c r="B34">
        <f>ROUND(12345,-2)</f>
        <v>12300</v>
      </c>
    </row>
    <row r="35" spans="1:2" x14ac:dyDescent="0.4">
      <c r="A35" t="s">
        <v>51</v>
      </c>
      <c r="B35">
        <f>ROUNDUP(2.001,2)</f>
        <v>2.0099999999999998</v>
      </c>
    </row>
    <row r="36" spans="1:2" x14ac:dyDescent="0.4">
      <c r="A36" t="s">
        <v>52</v>
      </c>
      <c r="B36">
        <f>ROUNDDOWN(2.999,2)</f>
        <v>2.99</v>
      </c>
    </row>
    <row r="37" spans="1:2" x14ac:dyDescent="0.4">
      <c r="A37" t="s">
        <v>53</v>
      </c>
      <c r="B37">
        <f>INT(-2.1)</f>
        <v>-3</v>
      </c>
    </row>
    <row r="38" spans="1:2" x14ac:dyDescent="0.4">
      <c r="A38" t="s">
        <v>54</v>
      </c>
      <c r="B38">
        <f>ABS(-7.5)</f>
        <v>7.5</v>
      </c>
    </row>
    <row r="39" spans="1:2" x14ac:dyDescent="0.4">
      <c r="A39" t="s">
        <v>55</v>
      </c>
      <c r="B39">
        <f>SQRT(16)</f>
        <v>4</v>
      </c>
    </row>
    <row r="40" spans="1:2" x14ac:dyDescent="0.4">
      <c r="A40" t="s">
        <v>56</v>
      </c>
      <c r="B40">
        <f>POWER(3,4)</f>
        <v>81</v>
      </c>
    </row>
    <row r="41" spans="1:2" x14ac:dyDescent="0.4">
      <c r="A41" t="s">
        <v>57</v>
      </c>
      <c r="B41">
        <f>SUM($E$2:$E$11)</f>
        <v>510</v>
      </c>
    </row>
    <row r="42" spans="1:2" x14ac:dyDescent="0.4">
      <c r="A42" t="s">
        <v>58</v>
      </c>
      <c r="B42">
        <f>SUM($F$2:$F$11)</f>
        <v>35</v>
      </c>
    </row>
    <row r="43" spans="1:2" x14ac:dyDescent="0.4">
      <c r="A43" t="s">
        <v>59</v>
      </c>
      <c r="B43">
        <f>SUM("3",4)</f>
        <v>7</v>
      </c>
    </row>
    <row r="44" spans="1:2" x14ac:dyDescent="0.4">
      <c r="A44" t="s">
        <v>60</v>
      </c>
      <c r="B44">
        <f>AVERAGE($E$2:$E$11)</f>
        <v>51</v>
      </c>
    </row>
    <row r="45" spans="1:2" x14ac:dyDescent="0.4">
      <c r="A45" t="s">
        <v>61</v>
      </c>
      <c r="B45">
        <f>AVERAGE($F$2:$F$11)</f>
        <v>5.833333333333333</v>
      </c>
    </row>
    <row r="46" spans="1:2" x14ac:dyDescent="0.4">
      <c r="A46" t="s">
        <v>62</v>
      </c>
      <c r="B46">
        <f>MIN($E$2:$E$11)</f>
        <v>5</v>
      </c>
    </row>
    <row r="47" spans="1:2" x14ac:dyDescent="0.4">
      <c r="A47" t="s">
        <v>63</v>
      </c>
      <c r="B47">
        <f>MAX($E$2:$E$11)</f>
        <v>120</v>
      </c>
    </row>
    <row r="48" spans="1:2" x14ac:dyDescent="0.4">
      <c r="A48" t="s">
        <v>64</v>
      </c>
      <c r="B48">
        <f>COUNT($F$2:$F$11)</f>
        <v>6</v>
      </c>
    </row>
    <row r="49" spans="1:2" x14ac:dyDescent="0.4">
      <c r="A49" t="s">
        <v>65</v>
      </c>
      <c r="B49">
        <f>COUNTA($F$2:$F$11)</f>
        <v>8</v>
      </c>
    </row>
    <row r="50" spans="1:2" x14ac:dyDescent="0.4">
      <c r="A50" t="s">
        <v>66</v>
      </c>
      <c r="B50">
        <f>COUNTBLANK($F$2:$F$11)</f>
        <v>2</v>
      </c>
    </row>
    <row r="51" spans="1:2" x14ac:dyDescent="0.4">
      <c r="A51" t="s">
        <v>67</v>
      </c>
      <c r="B51">
        <f>PRODUCT(2,3,4)</f>
        <v>24</v>
      </c>
    </row>
    <row r="52" spans="1:2" x14ac:dyDescent="0.4">
      <c r="A52" t="s">
        <v>68</v>
      </c>
      <c r="B52">
        <f>SUM($Y$50:$Y$60)</f>
        <v>0</v>
      </c>
    </row>
    <row r="53" spans="1:2" x14ac:dyDescent="0.4">
      <c r="A53" t="s">
        <v>69</v>
      </c>
      <c r="B53">
        <f>SUM(MAX($E$2:$E$11),MIN($E$2:$E$11))</f>
        <v>125</v>
      </c>
    </row>
    <row r="54" spans="1:2" x14ac:dyDescent="0.4">
      <c r="A54" t="s">
        <v>70</v>
      </c>
      <c r="B54">
        <f>SUM($E$2:$E$5,100,$E$6)</f>
        <v>400</v>
      </c>
    </row>
    <row r="55" spans="1:2" x14ac:dyDescent="0.4">
      <c r="A55" t="s">
        <v>71</v>
      </c>
      <c r="B55">
        <f>COUNTIF($E$2:$E$11,"&gt;50")</f>
        <v>5</v>
      </c>
    </row>
    <row r="56" spans="1:2" x14ac:dyDescent="0.4">
      <c r="A56" t="s">
        <v>72</v>
      </c>
      <c r="B56">
        <f>COUNTIF($E$2:$E$11,40)</f>
        <v>1</v>
      </c>
    </row>
    <row r="57" spans="1:2" x14ac:dyDescent="0.4">
      <c r="A57" t="s">
        <v>73</v>
      </c>
      <c r="B57">
        <f>COUNTIF($D$2:$D$11,"north")</f>
        <v>4</v>
      </c>
    </row>
    <row r="58" spans="1:2" x14ac:dyDescent="0.4">
      <c r="A58" t="s">
        <v>74</v>
      </c>
      <c r="B58">
        <f>COUNTIF($D$2:$D$11,"&lt;&gt;north")</f>
        <v>6</v>
      </c>
    </row>
    <row r="59" spans="1:2" x14ac:dyDescent="0.4">
      <c r="A59" t="s">
        <v>75</v>
      </c>
      <c r="B59">
        <f>COUNTIF($D$2:$D$11,"n*")</f>
        <v>4</v>
      </c>
    </row>
    <row r="60" spans="1:2" x14ac:dyDescent="0.4">
      <c r="A60" t="s">
        <v>76</v>
      </c>
      <c r="B60">
        <f>SUMIF($D$2:$D$11,"north",$E$2:$E$11)</f>
        <v>315</v>
      </c>
    </row>
    <row r="61" spans="1:2" x14ac:dyDescent="0.4">
      <c r="A61" t="s">
        <v>77</v>
      </c>
      <c r="B61">
        <f>SUMIF($E$2:$E$11,"&gt;50")</f>
        <v>405</v>
      </c>
    </row>
    <row r="62" spans="1:2" x14ac:dyDescent="0.4">
      <c r="A62" t="s">
        <v>78</v>
      </c>
      <c r="B62">
        <f>SUMIF($D$2:$D$11,"south",$E$2:$E$11)</f>
        <v>160</v>
      </c>
    </row>
    <row r="63" spans="1:2" x14ac:dyDescent="0.4">
      <c r="A63" t="s">
        <v>79</v>
      </c>
      <c r="B63">
        <f>AVERAGEIF($D$2:$D$11,"north",$E$2:$E$11)</f>
        <v>78.75</v>
      </c>
    </row>
    <row r="64" spans="1:2" x14ac:dyDescent="0.4">
      <c r="A64" t="s">
        <v>80</v>
      </c>
      <c r="B64" t="str">
        <f>IF(1=1,"yes","no")</f>
        <v>yes</v>
      </c>
    </row>
    <row r="65" spans="1:2" x14ac:dyDescent="0.4">
      <c r="A65" t="s">
        <v>81</v>
      </c>
      <c r="B65" t="str">
        <f>IF(1=2,"yes","no")</f>
        <v>no</v>
      </c>
    </row>
    <row r="66" spans="1:2" x14ac:dyDescent="0.4">
      <c r="A66" t="s">
        <v>82</v>
      </c>
      <c r="B66" t="str">
        <f>IF($E$2&gt;100,"big",IF($E$2&gt;10,"mid","small"))</f>
        <v>big</v>
      </c>
    </row>
    <row r="67" spans="1:2" x14ac:dyDescent="0.4">
      <c r="A67" t="s">
        <v>83</v>
      </c>
      <c r="B67" t="b">
        <f>AND(OR(FALSE,TRUE),NOT(FALSE))</f>
        <v>1</v>
      </c>
    </row>
    <row r="68" spans="1:2" x14ac:dyDescent="0.4">
      <c r="A68" t="s">
        <v>84</v>
      </c>
      <c r="B68">
        <f>IF(TRUE,42,0)</f>
        <v>42</v>
      </c>
    </row>
    <row r="69" spans="1:2" x14ac:dyDescent="0.4">
      <c r="A69" t="s">
        <v>85</v>
      </c>
      <c r="B69" t="b">
        <f>ISBLANK($Z$100)</f>
        <v>1</v>
      </c>
    </row>
    <row r="70" spans="1:2" x14ac:dyDescent="0.4">
      <c r="A70" t="s">
        <v>86</v>
      </c>
      <c r="B70" t="b">
        <f>ISNUMBER($E$2)</f>
        <v>1</v>
      </c>
    </row>
    <row r="71" spans="1:2" x14ac:dyDescent="0.4">
      <c r="A71" t="s">
        <v>87</v>
      </c>
      <c r="B71" t="b">
        <f>ISTEXT($D$2)</f>
        <v>1</v>
      </c>
    </row>
    <row r="72" spans="1:2" x14ac:dyDescent="0.4">
      <c r="A72" t="s">
        <v>88</v>
      </c>
      <c r="B72" t="str">
        <f>"a"&amp;"b"&amp;"c"</f>
        <v>abc</v>
      </c>
    </row>
    <row r="73" spans="1:2" x14ac:dyDescent="0.4">
      <c r="A73" t="s">
        <v>89</v>
      </c>
      <c r="B73" t="str">
        <f>CONCATENATE("x",1,"y")</f>
        <v>x1y</v>
      </c>
    </row>
    <row r="74" spans="1:2" x14ac:dyDescent="0.4">
      <c r="A74" t="s">
        <v>90</v>
      </c>
      <c r="B74">
        <f>LEN("hello")</f>
        <v>5</v>
      </c>
    </row>
    <row r="75" spans="1:2" x14ac:dyDescent="0.4">
      <c r="A75" t="s">
        <v>91</v>
      </c>
      <c r="B75" t="str">
        <f>LEFT("hello",3)</f>
        <v>hel</v>
      </c>
    </row>
    <row r="76" spans="1:2" x14ac:dyDescent="0.4">
      <c r="A76" t="s">
        <v>92</v>
      </c>
      <c r="B76" t="str">
        <f>RIGHT("hello",2)</f>
        <v>lo</v>
      </c>
    </row>
    <row r="77" spans="1:2" x14ac:dyDescent="0.4">
      <c r="A77" t="s">
        <v>13</v>
      </c>
      <c r="B77" t="str">
        <f>MID("hello",2,3)</f>
        <v>ell</v>
      </c>
    </row>
    <row r="78" spans="1:2" x14ac:dyDescent="0.4">
      <c r="A78" t="s">
        <v>93</v>
      </c>
      <c r="B78" t="str">
        <f>TRIM("  a   b  ")</f>
        <v>a b</v>
      </c>
    </row>
    <row r="79" spans="1:2" x14ac:dyDescent="0.4">
      <c r="A79" t="s">
        <v>94</v>
      </c>
      <c r="B79" t="str">
        <f>UPPER("ab")&amp;LOWER("CD")</f>
        <v>ABcd</v>
      </c>
    </row>
    <row r="80" spans="1:2" x14ac:dyDescent="0.4">
      <c r="A80" t="s">
        <v>95</v>
      </c>
      <c r="B80">
        <f>VALUE("12.5")+1</f>
        <v>13.5</v>
      </c>
    </row>
    <row r="81" spans="1:2" x14ac:dyDescent="0.4">
      <c r="A81" t="s">
        <v>96</v>
      </c>
      <c r="B81" t="str">
        <f>TEXT(3.14159,"0.00")</f>
        <v>3.14</v>
      </c>
    </row>
    <row r="82" spans="1:2" x14ac:dyDescent="0.4">
      <c r="A82" t="s">
        <v>97</v>
      </c>
      <c r="B82" t="str">
        <f>TEXT(0.1234,"0.0%")</f>
        <v>12.3%</v>
      </c>
    </row>
    <row r="83" spans="1:2" x14ac:dyDescent="0.4">
      <c r="A83" t="s">
        <v>98</v>
      </c>
      <c r="B83" t="str">
        <f>ROUND(1/3,4)&amp;" done"</f>
        <v>0.3333 done</v>
      </c>
    </row>
    <row r="84" spans="1:2" x14ac:dyDescent="0.4">
      <c r="A84" t="s">
        <v>99</v>
      </c>
      <c r="B84">
        <f>VLOOKUP("c",$H$2:$I$6,2,FALSE)</f>
        <v>30</v>
      </c>
    </row>
    <row r="85" spans="1:2" x14ac:dyDescent="0.4">
      <c r="A85" t="s">
        <v>100</v>
      </c>
      <c r="B85" t="str">
        <f>VLOOKUP(35,$K$2:$L$6,2,TRUE)</f>
        <v>mid</v>
      </c>
    </row>
    <row r="86" spans="1:2" x14ac:dyDescent="0.4">
      <c r="A86" t="s">
        <v>101</v>
      </c>
      <c r="B86">
        <f>MATCH("c",$H$2:$H$6,0)</f>
        <v>3</v>
      </c>
    </row>
    <row r="87" spans="1:2" x14ac:dyDescent="0.4">
      <c r="A87" t="s">
        <v>102</v>
      </c>
      <c r="B87">
        <f>INDEX($E$2:$E$11,3)</f>
        <v>75</v>
      </c>
    </row>
    <row r="88" spans="1:2" x14ac:dyDescent="0.4">
      <c r="A88" t="s">
        <v>103</v>
      </c>
      <c r="B88">
        <f>INDEX($I$2:$I$6,MATCH("d",$H$2:$H$6,0))</f>
        <v>40</v>
      </c>
    </row>
    <row r="89" spans="1:2" x14ac:dyDescent="0.4">
      <c r="A89" t="s">
        <v>104</v>
      </c>
      <c r="B89">
        <f>$E$2*2</f>
        <v>240</v>
      </c>
    </row>
    <row r="90" spans="1:2" x14ac:dyDescent="0.4">
      <c r="A90" t="s">
        <v>105</v>
      </c>
      <c r="B90">
        <f>E$2+$E3</f>
        <v>160</v>
      </c>
    </row>
    <row r="91" spans="1:2" x14ac:dyDescent="0.4">
      <c r="A91" t="s">
        <v>106</v>
      </c>
      <c r="B91">
        <f>Data!B2*10</f>
        <v>70</v>
      </c>
    </row>
    <row r="92" spans="1:2" x14ac:dyDescent="0.4">
      <c r="A92" t="s">
        <v>107</v>
      </c>
      <c r="B92">
        <f>SUM(Data!B2:B5)</f>
        <v>48</v>
      </c>
    </row>
    <row r="93" spans="1:2" x14ac:dyDescent="0.4">
      <c r="A93" t="s">
        <v>108</v>
      </c>
      <c r="B93">
        <f>'Odd Sheet'!B2+1</f>
        <v>100</v>
      </c>
    </row>
    <row r="94" spans="1:2" x14ac:dyDescent="0.4">
      <c r="A94" t="s">
        <v>109</v>
      </c>
      <c r="B94">
        <f>B2+B3+B4</f>
        <v>88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3B0D-5F53-4DD2-992D-E546D40722EA}">
  <dimension ref="B2:B5"/>
  <sheetViews>
    <sheetView workbookViewId="0"/>
  </sheetViews>
  <sheetFormatPr defaultRowHeight="18.75" x14ac:dyDescent="0.4"/>
  <sheetData>
    <row r="2" spans="2:2" x14ac:dyDescent="0.4">
      <c r="B2">
        <v>7</v>
      </c>
    </row>
    <row r="3" spans="2:2" x14ac:dyDescent="0.4">
      <c r="B3">
        <v>11</v>
      </c>
    </row>
    <row r="4" spans="2:2" x14ac:dyDescent="0.4">
      <c r="B4">
        <v>13</v>
      </c>
    </row>
    <row r="5" spans="2:2" x14ac:dyDescent="0.4">
      <c r="B5">
        <v>17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36F0-D5D1-450E-AFBA-493CE4734FB6}">
  <dimension ref="B2"/>
  <sheetViews>
    <sheetView workbookViewId="0"/>
  </sheetViews>
  <sheetFormatPr defaultRowHeight="18.75" x14ac:dyDescent="0.4"/>
  <sheetData>
    <row r="2" spans="2:2" x14ac:dyDescent="0.4">
      <c r="B2">
        <v>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Calc</vt:lpstr>
      <vt:lpstr>Data</vt:lpstr>
      <vt:lpstr>Odd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2026-09-03T07:15:05Z</dcterms:created>
  <dcterms:modified xsi:type="dcterms:W3CDTF">2026-09-03T07:15:13Z</dcterms:modified>
</cp:coreProperties>
</file>