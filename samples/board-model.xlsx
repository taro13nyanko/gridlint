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yank\Desktop\後藤さんのclaude\ai-builders-2026\gridlint\samples\"/>
    </mc:Choice>
  </mc:AlternateContent>
  <xr:revisionPtr revIDLastSave="0" documentId="8_{B0133697-FBEB-4342-9357-12B571412CFF}" xr6:coauthVersionLast="47" xr6:coauthVersionMax="47" xr10:uidLastSave="{00000000-0000-0000-0000-000000000000}"/>
  <bookViews>
    <workbookView xWindow="-120" yWindow="-120" windowWidth="29040" windowHeight="15720" xr2:uid="{86AB21AC-B89D-4E76-BF4C-FCBD29D48641}"/>
  </bookViews>
  <sheets>
    <sheet name="Operating Model" sheetId="2" r:id="rId1"/>
    <sheet name="Input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5" i="2" l="1"/>
  <c r="C29" i="2"/>
  <c r="C28" i="2"/>
  <c r="C27" i="2"/>
  <c r="C26" i="2"/>
  <c r="C25" i="2"/>
  <c r="C24" i="2"/>
  <c r="C23" i="2"/>
  <c r="C22" i="2"/>
  <c r="C21" i="2"/>
  <c r="N18" i="2"/>
  <c r="M18" i="2"/>
  <c r="L18" i="2"/>
  <c r="K18" i="2"/>
  <c r="J18" i="2"/>
  <c r="I18" i="2"/>
  <c r="H18" i="2"/>
  <c r="G18" i="2"/>
  <c r="F18" i="2"/>
  <c r="E18" i="2"/>
  <c r="D18" i="2"/>
  <c r="C18" i="2"/>
  <c r="N16" i="2"/>
  <c r="M16" i="2"/>
  <c r="L16" i="2"/>
  <c r="K16" i="2"/>
  <c r="J16" i="2"/>
  <c r="I16" i="2"/>
  <c r="H16" i="2"/>
  <c r="G16" i="2"/>
  <c r="F16" i="2"/>
  <c r="E16" i="2"/>
  <c r="D16" i="2"/>
  <c r="C16" i="2"/>
  <c r="N15" i="2"/>
  <c r="M15" i="2"/>
  <c r="L15" i="2"/>
  <c r="K15" i="2"/>
  <c r="J15" i="2"/>
  <c r="I15" i="2"/>
  <c r="H15" i="2"/>
  <c r="G15" i="2"/>
  <c r="F15" i="2"/>
  <c r="E15" i="2"/>
  <c r="D15" i="2"/>
  <c r="N14" i="2"/>
  <c r="M14" i="2"/>
  <c r="L14" i="2"/>
  <c r="K14" i="2"/>
  <c r="J14" i="2"/>
  <c r="I14" i="2"/>
  <c r="H14" i="2"/>
  <c r="G14" i="2"/>
  <c r="F14" i="2"/>
  <c r="E14" i="2"/>
  <c r="D14" i="2"/>
  <c r="N13" i="2"/>
  <c r="M13" i="2"/>
  <c r="L13" i="2"/>
  <c r="K13" i="2"/>
  <c r="J13" i="2"/>
  <c r="I13" i="2"/>
  <c r="H13" i="2"/>
  <c r="G13" i="2"/>
  <c r="F13" i="2"/>
  <c r="E13" i="2"/>
  <c r="D13" i="2"/>
  <c r="N12" i="2"/>
  <c r="M12" i="2"/>
  <c r="L12" i="2"/>
  <c r="K12" i="2"/>
  <c r="J12" i="2"/>
  <c r="I12" i="2"/>
  <c r="H12" i="2"/>
  <c r="G12" i="2"/>
  <c r="F12" i="2"/>
  <c r="E12" i="2"/>
  <c r="D12" i="2"/>
  <c r="N11" i="2"/>
  <c r="M11" i="2"/>
  <c r="L11" i="2"/>
  <c r="K11" i="2"/>
  <c r="J11" i="2"/>
  <c r="I11" i="2"/>
  <c r="H11" i="2"/>
  <c r="G11" i="2"/>
  <c r="F11" i="2"/>
  <c r="E11" i="2"/>
  <c r="D11" i="2"/>
  <c r="N8" i="2"/>
  <c r="M8" i="2"/>
  <c r="L8" i="2"/>
  <c r="K8" i="2"/>
  <c r="J8" i="2"/>
  <c r="I8" i="2"/>
  <c r="H8" i="2"/>
  <c r="G8" i="2"/>
  <c r="F8" i="2"/>
  <c r="E8" i="2"/>
  <c r="D8" i="2"/>
  <c r="C8" i="2"/>
  <c r="N7" i="2"/>
  <c r="M7" i="2"/>
  <c r="L7" i="2"/>
  <c r="K7" i="2"/>
  <c r="J7" i="2"/>
  <c r="I7" i="2"/>
  <c r="H7" i="2"/>
  <c r="G7" i="2"/>
  <c r="F7" i="2"/>
  <c r="E7" i="2"/>
  <c r="D7" i="2"/>
  <c r="N6" i="2"/>
  <c r="M6" i="2"/>
  <c r="L6" i="2"/>
  <c r="K6" i="2"/>
  <c r="J6" i="2"/>
  <c r="I6" i="2"/>
  <c r="H6" i="2"/>
  <c r="G6" i="2"/>
  <c r="F6" i="2"/>
  <c r="E6" i="2"/>
  <c r="D6" i="2"/>
</calcChain>
</file>

<file path=xl/sharedStrings.xml><?xml version="1.0" encoding="utf-8"?>
<sst xmlns="http://schemas.openxmlformats.org/spreadsheetml/2006/main" count="48" uniqueCount="47">
  <si>
    <t>Assumption</t>
  </si>
  <si>
    <t>Value</t>
  </si>
  <si>
    <t>Cash on hand</t>
  </si>
  <si>
    <t>Headcount</t>
  </si>
  <si>
    <t>Target gross margin</t>
  </si>
  <si>
    <t>FY26 Operating Model</t>
  </si>
  <si>
    <t>All figures USD, prepared for the September board meeting</t>
  </si>
  <si>
    <t>Monthly growth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</si>
  <si>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</si>
  <si>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</si>
  <si>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</si>
  <si>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</si>
  <si>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</si>
  <si>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</si>
  <si>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</si>
  <si>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</si>
  <si>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</si>
  <si>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</si>
  <si>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</si>
  <si>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</si>
  <si>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REVENUE</t>
  </si>
  <si>
    <t>Subscription revenue</t>
  </si>
  <si>
    <t>Services revenue</t>
  </si>
  <si>
    <t>Total revenue</t>
  </si>
  <si>
    <t>OPERATING COSTS</t>
  </si>
  <si>
    <t>Salaries &amp; benefits</t>
  </si>
  <si>
    <t>Cloud &amp; infrastructure</t>
  </si>
  <si>
    <t>Marketing</t>
  </si>
  <si>
    <t>Office &amp; software</t>
  </si>
  <si>
    <t>Contractors</t>
  </si>
  <si>
    <t>Total operating costs</t>
  </si>
  <si>
    <t>Net burn (costs - revenue)</t>
  </si>
  <si>
    <t>SUMMARY</t>
  </si>
  <si>
    <t>Average monthly burn</t>
  </si>
  <si>
    <t>Runway (months)</t>
  </si>
  <si>
    <t>Full-year revenue</t>
  </si>
  <si>
    <t>Full-year costs</t>
  </si>
  <si>
    <t>Cost per head</t>
  </si>
  <si>
    <t>Gross margin</t>
  </si>
  <si>
    <t>Estimated tax provision</t>
  </si>
  <si>
    <t>Revenue per head</t>
  </si>
  <si>
    <t>One-off costs</t>
  </si>
  <si>
    <t>Legal fees</t>
  </si>
  <si>
    <t>Recruiting</t>
  </si>
  <si>
    <t>38,500</t>
  </si>
  <si>
    <t>Relocation</t>
  </si>
  <si>
    <t>Total one-off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</si>
</sst>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9" formatCode="\$#,##0"/>
    <numFmt numFmtId="180" formatCode="0.0%"/>
  </numFmts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  <xf numFmtId="0" fontId="2" fillId="0" borderId="0" xfId="0" applyFont="1">
      <alignment vertical="center"/>
    </xf>
    <xf numFmtId="49" fontId="0" fillId="0" borderId="0" xfId="0" applyNumberFormat="1">
      <alignment vertical="center"/>
    </xf>
    <xf numFmtId="0" fontId="2" fillId="0" borderId="0" xfId="0" applyFont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48534-0FD6-43A0-AD26-5BA94623CED0}">
  <dimension ref="A1:N35"/>
  <sheetViews>
    <sheetView tabSelected="1" workbookViewId="0"/>
  </sheetViews>
  <sheetFormatPr defaultRowHeight="18.75" x14ac:dyDescent="0.4"/>
  <cols>
    <col min="1" max="1" width="30.625" customWidth="1"/>
    <col min="2" max="2" width="14.625" customWidth="1"/>
    <col min="3" max="3" width="10.625" bestFit="1" customWidth="1"/>
  </cols>
  <sheetData>
    <row r="1" spans="1:14" x14ac:dyDescent="0.4">
      <c r="A1" t="s">
        <v>5</v>
      </c>
    </row>
    <row r="2" spans="1:14" x14ac:dyDescent="0.4">
      <c r="A2" t="s">
        <v>6</v>
      </c>
    </row>
    <row r="4" spans="1:14" x14ac:dyDescent="0.4">
      <c r="B4" t="s">
        <v>7</v>
      </c>
      <c r="C4" s="5" t="s">
        <v>8</v>
      </c>
      <c r="D4" s="5" t="s">
        <v>9</v>
      </c>
      <c r="E4" s="5" t="s">
        <v>10</v>
      </c>
      <c r="F4" s="5" t="s">
        <v>11</v>
      </c>
      <c r="G4" s="5" t="s">
        <v>12</v>
      </c>
      <c r="H4" s="5" t="s">
        <v>13</v>
      </c>
      <c r="I4" s="5" t="s">
        <v>14</v>
      </c>
      <c r="J4" s="5" t="s">
        <v>15</v>
      </c>
      <c r="K4" s="5" t="s">
        <v>16</v>
      </c>
      <c r="L4" s="5" t="s">
        <v>17</v>
      </c>
      <c r="M4" s="5" t="s">
        <v>18</v>
      </c>
      <c r="N4" s="5" t="s">
        <v>19</v>
      </c>
    </row>
    <row r="5" spans="1:14" x14ac:dyDescent="0.4">
      <c r="A5" s="3" t="s">
        <v>20</v>
      </c>
    </row>
    <row r="6" spans="1:14" x14ac:dyDescent="0.4">
      <c r="A6" t="s">
        <v>21</v>
      </c>
      <c r="B6" s="2">
        <v>0.02</v>
      </c>
      <c r="C6" s="1">
        <v>420000</v>
      </c>
      <c r="D6" s="1">
        <f>C6*(1+$B$6)</f>
        <v>428400</v>
      </c>
      <c r="E6" s="1">
        <f>D6*(1+$B$6)</f>
        <v>436968</v>
      </c>
      <c r="F6" s="1">
        <f>E6*(1+$B$6)</f>
        <v>445707.36</v>
      </c>
      <c r="G6" s="1">
        <f>F6*(1+$B$6)</f>
        <v>454621.50719999999</v>
      </c>
      <c r="H6" s="1">
        <f>G6*(1+$B$6)</f>
        <v>463713.93734399998</v>
      </c>
      <c r="I6" s="1">
        <f>H6*(1+$B$6)</f>
        <v>472988.21609087999</v>
      </c>
      <c r="J6" s="1">
        <f>I6*(1+$B$6)</f>
        <v>482447.98041269759</v>
      </c>
      <c r="K6" s="1">
        <f>J6*(1+$B$6)</f>
        <v>492096.94002095156</v>
      </c>
      <c r="L6" s="1">
        <f>K6*(1+$B$6)</f>
        <v>501938.8788213706</v>
      </c>
      <c r="M6" s="1">
        <f>L6*(1+$B$6)</f>
        <v>511977.65639779804</v>
      </c>
      <c r="N6" s="1">
        <f>M6*(1+$B$6)</f>
        <v>522217.20952575403</v>
      </c>
    </row>
    <row r="7" spans="1:14" x14ac:dyDescent="0.4">
      <c r="A7" t="s">
        <v>22</v>
      </c>
      <c r="B7" s="2">
        <v>0.01</v>
      </c>
      <c r="C7" s="1">
        <v>90000</v>
      </c>
      <c r="D7" s="1">
        <f>C7*(1+$B$7)</f>
        <v>90900</v>
      </c>
      <c r="E7" s="1">
        <f>D7*(1+$B$7)</f>
        <v>91809</v>
      </c>
      <c r="F7" s="1">
        <f>E7*(1+$B$7)</f>
        <v>92727.09</v>
      </c>
      <c r="G7" s="1">
        <f>F7*(1+$B$7)</f>
        <v>93654.3609</v>
      </c>
      <c r="H7" s="1">
        <f>G7*(1+$B$7)</f>
        <v>94590.904509</v>
      </c>
      <c r="I7" s="1">
        <f>H7*(1+$B$7)</f>
        <v>95536.813554089997</v>
      </c>
      <c r="J7" s="1">
        <f>I7*(1+$B$7)</f>
        <v>96492.181689630903</v>
      </c>
      <c r="K7" s="1">
        <f>J7*(1+$B$7)</f>
        <v>97457.103506527215</v>
      </c>
      <c r="L7" s="1">
        <f>K7*(1+$B$7)</f>
        <v>98431.674541592482</v>
      </c>
      <c r="M7" s="1">
        <f>L7*(1+$B$7)</f>
        <v>99415.991287008408</v>
      </c>
      <c r="N7" s="1">
        <f>M7*(1+$B$7)</f>
        <v>100410.1511998785</v>
      </c>
    </row>
    <row r="8" spans="1:14" x14ac:dyDescent="0.4">
      <c r="A8" s="3" t="s">
        <v>23</v>
      </c>
      <c r="C8" s="1">
        <f>SUM(C6:C7)</f>
        <v>510000</v>
      </c>
      <c r="D8" s="1">
        <f>SUM(D6:D7)</f>
        <v>519300</v>
      </c>
      <c r="E8" s="1">
        <f>SUM(E6:E7)</f>
        <v>528777</v>
      </c>
      <c r="F8" s="1">
        <f>SUM(F6:F7)</f>
        <v>538434.44999999995</v>
      </c>
      <c r="G8" s="1">
        <f>SUM(G6:G7)</f>
        <v>548275.86809999996</v>
      </c>
      <c r="H8" s="1">
        <f>SUM(H6:H7)</f>
        <v>558304.84185299999</v>
      </c>
      <c r="I8" s="1">
        <f>SUM(I6:I7)</f>
        <v>568525.02964496997</v>
      </c>
      <c r="J8" s="1">
        <f>SUM(J6:J7)</f>
        <v>578940.1621023285</v>
      </c>
      <c r="K8" s="1">
        <f>SUM(K6:K7)</f>
        <v>589554.04352747882</v>
      </c>
      <c r="L8" s="1">
        <f>SUM(L6:L7)</f>
        <v>600370.55336296302</v>
      </c>
      <c r="M8" s="1">
        <f>SUM(M6:M7)</f>
        <v>611393.64768480649</v>
      </c>
      <c r="N8" s="1">
        <f>SUM(N6:N7)</f>
        <v>622627.36072563252</v>
      </c>
    </row>
    <row r="10" spans="1:14" x14ac:dyDescent="0.4">
      <c r="A10" s="3" t="s">
        <v>24</v>
      </c>
    </row>
    <row r="11" spans="1:14" x14ac:dyDescent="0.4">
      <c r="A11" t="s">
        <v>25</v>
      </c>
      <c r="B11" s="2">
        <v>0.01</v>
      </c>
      <c r="C11" s="1">
        <v>310000</v>
      </c>
      <c r="D11" s="1">
        <f>C11*(1+$B$11)</f>
        <v>313100</v>
      </c>
      <c r="E11" s="1">
        <f>D11*(1+$B$11)</f>
        <v>316231</v>
      </c>
      <c r="F11" s="1">
        <f>E11*(1+$B$11)</f>
        <v>319393.31</v>
      </c>
      <c r="G11" s="1">
        <f>F11*(1+$B$11)</f>
        <v>322587.24310000002</v>
      </c>
      <c r="H11" s="1">
        <f>G11*(1+$B$11)</f>
        <v>325813.11553100002</v>
      </c>
      <c r="I11" s="1">
        <f>H11*(1+$B$11)</f>
        <v>329071.24668631004</v>
      </c>
      <c r="J11" s="1">
        <f>I11*(1+$B$11)</f>
        <v>332361.95915317314</v>
      </c>
      <c r="K11" s="1">
        <f>J11*(1+$B$11)</f>
        <v>335685.57874470489</v>
      </c>
      <c r="L11" s="1">
        <f>K11*(1+$B$11)</f>
        <v>339042.43453215196</v>
      </c>
      <c r="M11" s="1">
        <f>L11*(1+$B$11)</f>
        <v>342432.85887747351</v>
      </c>
      <c r="N11" s="1">
        <f>M11*(1+$B$11)</f>
        <v>345857.18746624823</v>
      </c>
    </row>
    <row r="12" spans="1:14" x14ac:dyDescent="0.4">
      <c r="A12" t="s">
        <v>26</v>
      </c>
      <c r="B12" s="2">
        <v>0.06</v>
      </c>
      <c r="C12" s="1">
        <v>64000</v>
      </c>
      <c r="D12" s="1">
        <f>C12*(1+$B$12)</f>
        <v>67840</v>
      </c>
      <c r="E12" s="1">
        <f>D12*(1+$B$12)</f>
        <v>71910.400000000009</v>
      </c>
      <c r="F12" s="1">
        <f>E12*(1+$B$12)</f>
        <v>76225.024000000019</v>
      </c>
      <c r="G12" s="1">
        <f>F12*(1+$B$12)</f>
        <v>80798.525440000027</v>
      </c>
      <c r="H12" s="1">
        <f>G12*(1+$B$12)</f>
        <v>85646.436966400026</v>
      </c>
      <c r="I12" s="1">
        <f>H12*(1+$B$12)</f>
        <v>90785.223184384027</v>
      </c>
      <c r="J12" s="1">
        <f>I12*(1+$B$12)</f>
        <v>96232.336575447072</v>
      </c>
      <c r="K12" s="1">
        <f>J12*(1+$B$12)</f>
        <v>102006.27676997391</v>
      </c>
      <c r="L12" s="1">
        <f>K12*(1+$B$12)</f>
        <v>108126.65337617234</v>
      </c>
      <c r="M12" s="1">
        <f>L12*(1+$B$12)</f>
        <v>114614.25257874269</v>
      </c>
      <c r="N12" s="1">
        <f>M12*(1+$B$12)</f>
        <v>121491.10773346726</v>
      </c>
    </row>
    <row r="13" spans="1:14" x14ac:dyDescent="0.4">
      <c r="A13" t="s">
        <v>27</v>
      </c>
      <c r="B13" s="2">
        <v>0.1</v>
      </c>
      <c r="C13" s="1">
        <v>81000</v>
      </c>
      <c r="D13" s="1">
        <f>C13*(1+$B$13)</f>
        <v>89100</v>
      </c>
      <c r="E13" s="1">
        <f>D13*(1+$B$13)</f>
        <v>98010.000000000015</v>
      </c>
      <c r="F13" s="1">
        <f>E13*(1+$B$13)</f>
        <v>107811.00000000003</v>
      </c>
      <c r="G13" s="1">
        <f>F13*(1+$B$13)</f>
        <v>118592.10000000003</v>
      </c>
      <c r="H13" s="1">
        <f>G13*(1+$B$13)</f>
        <v>130451.31000000006</v>
      </c>
      <c r="I13" s="1">
        <f>H13*(1+$B$13)</f>
        <v>143496.44100000008</v>
      </c>
      <c r="J13" s="1">
        <f>I13*(1+$B$13)</f>
        <v>157846.08510000011</v>
      </c>
      <c r="K13" s="1">
        <f>J13*1.35</f>
        <v>213092.21488500017</v>
      </c>
      <c r="L13" s="1">
        <f>K13*(1+$B$13)</f>
        <v>234401.43637350021</v>
      </c>
      <c r="M13" s="1">
        <f>L13*(1+$B$13)</f>
        <v>257841.58001085024</v>
      </c>
      <c r="N13" s="1">
        <f>M13*(1+$B$13)</f>
        <v>283625.73801193532</v>
      </c>
    </row>
    <row r="14" spans="1:14" x14ac:dyDescent="0.4">
      <c r="A14" t="s">
        <v>28</v>
      </c>
      <c r="B14" s="2">
        <v>5.0000000000000001E-3</v>
      </c>
      <c r="C14" s="1">
        <v>23000</v>
      </c>
      <c r="D14" s="1">
        <f>C14*(1+$B$14)</f>
        <v>23114.999999999996</v>
      </c>
      <c r="E14" s="1">
        <f>D14*(1+$B$14)</f>
        <v>23230.574999999993</v>
      </c>
      <c r="F14" s="1">
        <f>E14*(1+$B$14)</f>
        <v>23346.72787499999</v>
      </c>
      <c r="G14" s="1">
        <f>F14*(1+$B$14)</f>
        <v>23463.461514374987</v>
      </c>
      <c r="H14" s="1">
        <f>G14*(1+$B$14)</f>
        <v>23580.77882194686</v>
      </c>
      <c r="I14" s="1">
        <f>H14*(1+$B$14)</f>
        <v>23698.682716056592</v>
      </c>
      <c r="J14" s="1">
        <f>I14*(1+$B$14)</f>
        <v>23817.176129636871</v>
      </c>
      <c r="K14" s="1">
        <f>J14*(1+$B$14)</f>
        <v>23936.262010285052</v>
      </c>
      <c r="L14" s="1">
        <f>K14*(1+$B$14)</f>
        <v>24055.943320336475</v>
      </c>
      <c r="M14" s="1">
        <f>L14*(1+$B$14)</f>
        <v>24176.223036938154</v>
      </c>
      <c r="N14" s="1">
        <f>M14*(1+$B$14)</f>
        <v>24297.104152122844</v>
      </c>
    </row>
    <row r="15" spans="1:14" x14ac:dyDescent="0.4">
      <c r="A15" t="s">
        <v>29</v>
      </c>
      <c r="B15" s="2">
        <v>0.04</v>
      </c>
      <c r="C15" s="1">
        <v>185000</v>
      </c>
      <c r="D15" s="1">
        <f>C15*(1+$B$15)</f>
        <v>192400</v>
      </c>
      <c r="E15" s="1">
        <f>D15*(1+$B$15)</f>
        <v>200096</v>
      </c>
      <c r="F15" s="1">
        <f>E15*(1+$B$15)</f>
        <v>208099.84</v>
      </c>
      <c r="G15" s="1">
        <f>F15*(1+$B$15)</f>
        <v>216423.83360000001</v>
      </c>
      <c r="H15" s="1">
        <f>G15*(1+$B$15)</f>
        <v>225080.78694400002</v>
      </c>
      <c r="I15" s="1">
        <f>H15*(1+$B$15)</f>
        <v>234084.01842176003</v>
      </c>
      <c r="J15" s="1">
        <f>I15*(1+$B$15)</f>
        <v>243447.37915863044</v>
      </c>
      <c r="K15" s="1">
        <f>J15*(1+$B$15)</f>
        <v>253185.27432497567</v>
      </c>
      <c r="L15" s="1">
        <f>K15*(1+$B$15)</f>
        <v>263312.68529797473</v>
      </c>
      <c r="M15" s="1">
        <f>L15*(1+$B$15)</f>
        <v>273845.19270989374</v>
      </c>
      <c r="N15" s="1">
        <f>M15*(1+$B$15)</f>
        <v>284799.00041828951</v>
      </c>
    </row>
    <row r="16" spans="1:14" x14ac:dyDescent="0.4">
      <c r="A16" s="3" t="s">
        <v>30</v>
      </c>
      <c r="C16" s="1">
        <f>SUM(C11:C14)</f>
        <v>478000</v>
      </c>
      <c r="D16" s="1">
        <f>SUM(D11:D14)</f>
        <v>493155</v>
      </c>
      <c r="E16" s="1">
        <f>SUM(E11:E14)</f>
        <v>509381.97500000003</v>
      </c>
      <c r="F16" s="1">
        <f>SUM(F11:F14)</f>
        <v>526776.06187500001</v>
      </c>
      <c r="G16" s="1">
        <f>SUM(G11:G14)</f>
        <v>545441.33005437511</v>
      </c>
      <c r="H16" s="1">
        <f>SUM(H11:H14)</f>
        <v>565491.64131934685</v>
      </c>
      <c r="I16" s="1">
        <f>SUM(I11:I14)</f>
        <v>587051.59358675079</v>
      </c>
      <c r="J16" s="1">
        <f>SUM(J11:J14)</f>
        <v>610257.5569582571</v>
      </c>
      <c r="K16" s="1">
        <f>SUM(K11:K14)</f>
        <v>674720.33240996406</v>
      </c>
      <c r="L16" s="1">
        <f>SUM(L11:L14)</f>
        <v>705626.46760216099</v>
      </c>
      <c r="M16" s="1">
        <f>SUM(M11:M14)</f>
        <v>739064.91450400453</v>
      </c>
      <c r="N16" s="1">
        <f>SUM(N11:N14)</f>
        <v>775271.13736377365</v>
      </c>
    </row>
    <row r="18" spans="1:14" x14ac:dyDescent="0.4">
      <c r="A18" s="3" t="s">
        <v>31</v>
      </c>
      <c r="C18" s="1">
        <f>C16-C8</f>
        <v>-32000</v>
      </c>
      <c r="D18" s="1">
        <f>D16-D8</f>
        <v>-26145</v>
      </c>
      <c r="E18" s="1">
        <f>E16-E8</f>
        <v>-19395.024999999965</v>
      </c>
      <c r="F18" s="1">
        <f>F16-F8</f>
        <v>-11658.388124999939</v>
      </c>
      <c r="G18" s="1">
        <f>G16-G8</f>
        <v>-2834.5380456248531</v>
      </c>
      <c r="H18" s="1">
        <f>H16-H8</f>
        <v>7186.7994663468562</v>
      </c>
      <c r="I18" s="1">
        <f>I16-I8</f>
        <v>18526.563941780827</v>
      </c>
      <c r="J18" s="1">
        <f>J16-J8</f>
        <v>31317.394855928607</v>
      </c>
      <c r="K18" s="1">
        <f>K16-K8</f>
        <v>85166.288882485242</v>
      </c>
      <c r="L18" s="1">
        <f>L16-L8</f>
        <v>105255.91423919797</v>
      </c>
      <c r="M18" s="1">
        <f>M16-M8</f>
        <v>127671.26681919803</v>
      </c>
      <c r="N18" s="1">
        <f>N16-N8</f>
        <v>152643.77663814113</v>
      </c>
    </row>
    <row r="20" spans="1:14" x14ac:dyDescent="0.4">
      <c r="A20" s="3" t="s">
        <v>32</v>
      </c>
    </row>
    <row r="21" spans="1:14" x14ac:dyDescent="0.4">
      <c r="A21" t="s">
        <v>2</v>
      </c>
      <c r="C21" s="1">
        <f>Inputs!B2</f>
        <v>1400000</v>
      </c>
    </row>
    <row r="22" spans="1:14" x14ac:dyDescent="0.4">
      <c r="A22" t="s">
        <v>33</v>
      </c>
      <c r="C22" s="1">
        <f>AVERAGE(C18:N18)</f>
        <v>36311.254472704495</v>
      </c>
    </row>
    <row r="23" spans="1:14" x14ac:dyDescent="0.4">
      <c r="A23" t="s">
        <v>34</v>
      </c>
      <c r="C23">
        <f>IF(C22&gt;0,ROUND(C21/C22,1),"Profitable")</f>
        <v>38.6</v>
      </c>
    </row>
    <row r="24" spans="1:14" x14ac:dyDescent="0.4">
      <c r="A24" t="s">
        <v>35</v>
      </c>
      <c r="C24" s="1">
        <f>SUM(C8:N8)</f>
        <v>6774502.9570011785</v>
      </c>
    </row>
    <row r="25" spans="1:14" x14ac:dyDescent="0.4">
      <c r="A25" t="s">
        <v>36</v>
      </c>
      <c r="C25" s="1">
        <f>SUM(C16:N16)</f>
        <v>7210238.0106736328</v>
      </c>
    </row>
    <row r="26" spans="1:14" x14ac:dyDescent="0.4">
      <c r="A26" t="s">
        <v>37</v>
      </c>
      <c r="C26" s="1">
        <f>ROUND(C25/Inputs!B3,0)</f>
        <v>175859</v>
      </c>
    </row>
    <row r="27" spans="1:14" x14ac:dyDescent="0.4">
      <c r="A27" t="s">
        <v>38</v>
      </c>
      <c r="C27" s="2">
        <f>(C8-C16)/C8</f>
        <v>6.2745098039215685E-2</v>
      </c>
    </row>
    <row r="28" spans="1:14" x14ac:dyDescent="0.4">
      <c r="A28" t="s">
        <v>39</v>
      </c>
      <c r="C28" s="1">
        <f>MAX(0,-C18*0.0825)</f>
        <v>2640</v>
      </c>
    </row>
    <row r="29" spans="1:14" x14ac:dyDescent="0.4">
      <c r="A29" t="s">
        <v>40</v>
      </c>
      <c r="C29" s="1">
        <f>IFERROR(C8/Inputs!B7,0)</f>
        <v>0</v>
      </c>
    </row>
    <row r="31" spans="1:14" x14ac:dyDescent="0.4">
      <c r="A31" s="3" t="s">
        <v>41</v>
      </c>
    </row>
    <row r="32" spans="1:14" x14ac:dyDescent="0.4">
      <c r="A32" t="s">
        <v>42</v>
      </c>
      <c r="C32" s="1">
        <v>24000</v>
      </c>
    </row>
    <row r="33" spans="1:3" x14ac:dyDescent="0.4">
      <c r="A33" t="s">
        <v>43</v>
      </c>
      <c r="C33" s="4" t="s">
        <v>44</v>
      </c>
    </row>
    <row r="34" spans="1:3" x14ac:dyDescent="0.4">
      <c r="A34" t="s">
        <v>45</v>
      </c>
      <c r="C34" s="1">
        <v>12000</v>
      </c>
    </row>
    <row r="35" spans="1:3" x14ac:dyDescent="0.4">
      <c r="A35" t="s">
        <v>46</v>
      </c>
      <c r="C35" s="1">
        <f>SUM(C32:C34)</f>
        <v>36000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BE7CA-DB84-4D0C-8F0A-B2D8E0467C30}">
  <dimension ref="A1:B4"/>
  <sheetViews>
    <sheetView workbookViewId="0"/>
  </sheetViews>
  <sheetFormatPr defaultRowHeight="18.75" x14ac:dyDescent="0.4"/>
  <cols>
    <col min="2" max="2" width="10.625" bestFit="1" customWidth="1"/>
  </cols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s="1">
        <v>1400000</v>
      </c>
    </row>
    <row r="3" spans="1:2" x14ac:dyDescent="0.4">
      <c r="A3" t="s">
        <v>3</v>
      </c>
      <c r="B3">
        <v>41</v>
      </c>
    </row>
    <row r="4" spans="1:2" x14ac:dyDescent="0.4">
      <c r="A4" t="s">
        <v>4</v>
      </c>
      <c r="B4" s="2">
        <v>0.72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Operating Model</vt:lpstr>
      <vt:lpstr>Inputs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太田　悠介</dc:creator>
  <cp:lastModifiedBy>太田　悠介</cp:lastModifiedBy>
  <dcterms:created xsi:type="dcterms:W3CDTF">2026-09-03T13:36:03Z</dcterms:created>
  <dcterms:modified xsi:type="dcterms:W3CDTF">2026-09-03T13:36:23Z</dcterms:modified>
</cp:coreProperties>
</file>